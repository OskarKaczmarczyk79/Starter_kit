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kaczmarczyk\Desktop\Praktyka Oskar\Monitoring antybiotyków\Pomoce\"/>
    </mc:Choice>
  </mc:AlternateContent>
  <xr:revisionPtr revIDLastSave="0" documentId="8_{E3CFDE8A-0B71-45DE-A21E-6DB95BEA106E}" xr6:coauthVersionLast="47" xr6:coauthVersionMax="47" xr10:uidLastSave="{00000000-0000-0000-0000-000000000000}"/>
  <bookViews>
    <workbookView xWindow="-110" yWindow="-110" windowWidth="19420" windowHeight="10300" tabRatio="718" activeTab="1" xr2:uid="{00000000-000D-0000-FFFF-FFFF00000000}"/>
  </bookViews>
  <sheets>
    <sheet name="Karta informacyjna" sheetId="16" r:id="rId1"/>
    <sheet name="Leczenie ogólne" sheetId="17" r:id="rId2"/>
    <sheet name="Mastitis" sheetId="18" r:id="rId3"/>
    <sheet name="Zasuszanie" sheetId="19" r:id="rId4"/>
    <sheet name="Podsumowanie" sheetId="20" r:id="rId5"/>
    <sheet name="Tabelle1" sheetId="11" r:id="rId6"/>
    <sheet name="Listy wyboru" sheetId="15" r:id="rId7"/>
  </sheets>
  <definedNames>
    <definedName name="_xlnm._FilterDatabase" localSheetId="1" hidden="1">'Leczenie ogólne'!$D$3:$O$265</definedName>
    <definedName name="_xlnm._FilterDatabase" localSheetId="2" hidden="1">Mastitis!$D$3:$O$265</definedName>
    <definedName name="_xlnm._FilterDatabase" localSheetId="5" hidden="1">Tabelle1!$B$1:$K$293</definedName>
    <definedName name="_xlnm._FilterDatabase" localSheetId="3" hidden="1">Zasuszanie!$D$3:$O$265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7" i="17" l="1"/>
  <c r="L267" i="17"/>
  <c r="M267" i="17"/>
  <c r="O267" i="17"/>
  <c r="N267" i="17" s="1"/>
  <c r="P267" i="17"/>
  <c r="E268" i="17"/>
  <c r="K268" i="17"/>
  <c r="D268" i="17" s="1"/>
  <c r="L268" i="17"/>
  <c r="M268" i="17"/>
  <c r="O268" i="17"/>
  <c r="N268" i="17" s="1"/>
  <c r="P268" i="17"/>
  <c r="K269" i="17"/>
  <c r="M269" i="17"/>
  <c r="K270" i="17"/>
  <c r="L270" i="17"/>
  <c r="O270" i="17"/>
  <c r="K271" i="17"/>
  <c r="L271" i="17"/>
  <c r="E272" i="17"/>
  <c r="K272" i="17"/>
  <c r="L272" i="17"/>
  <c r="M272" i="17"/>
  <c r="P272" i="17"/>
  <c r="K273" i="17"/>
  <c r="L273" i="17"/>
  <c r="O273" i="17"/>
  <c r="K274" i="17"/>
  <c r="L274" i="17"/>
  <c r="K275" i="17"/>
  <c r="L275" i="17"/>
  <c r="M275" i="17"/>
  <c r="O275" i="17"/>
  <c r="N275" i="17" s="1"/>
  <c r="P275" i="17"/>
  <c r="E276" i="17"/>
  <c r="K276" i="17"/>
  <c r="D276" i="17" s="1"/>
  <c r="L276" i="17"/>
  <c r="M276" i="17"/>
  <c r="O276" i="17"/>
  <c r="N276" i="17" s="1"/>
  <c r="P276" i="17"/>
  <c r="E277" i="17"/>
  <c r="K277" i="17"/>
  <c r="M277" i="17"/>
  <c r="O277" i="17"/>
  <c r="N277" i="17" s="1"/>
  <c r="P277" i="17"/>
  <c r="K278" i="17"/>
  <c r="L278" i="17"/>
  <c r="K279" i="17"/>
  <c r="L279" i="17"/>
  <c r="M279" i="17"/>
  <c r="O279" i="17"/>
  <c r="K280" i="17"/>
  <c r="L280" i="17"/>
  <c r="E281" i="17"/>
  <c r="K281" i="17"/>
  <c r="L281" i="17"/>
  <c r="M281" i="17"/>
  <c r="O281" i="17"/>
  <c r="N281" i="17" s="1"/>
  <c r="K282" i="17"/>
  <c r="L282" i="17"/>
  <c r="O282" i="17"/>
  <c r="P282" i="17"/>
  <c r="K283" i="17"/>
  <c r="L283" i="17"/>
  <c r="E284" i="17"/>
  <c r="K284" i="17"/>
  <c r="D284" i="17" s="1"/>
  <c r="L284" i="17"/>
  <c r="M284" i="17"/>
  <c r="O284" i="17"/>
  <c r="N284" i="17" s="1"/>
  <c r="P284" i="17"/>
  <c r="K285" i="17"/>
  <c r="M285" i="17"/>
  <c r="O285" i="17"/>
  <c r="N285" i="17" s="1"/>
  <c r="P285" i="17"/>
  <c r="E286" i="17"/>
  <c r="K286" i="17"/>
  <c r="L286" i="17"/>
  <c r="O286" i="17"/>
  <c r="P286" i="17"/>
  <c r="K287" i="17"/>
  <c r="L287" i="17"/>
  <c r="P287" i="17"/>
  <c r="K288" i="17"/>
  <c r="L288" i="17"/>
  <c r="M288" i="17"/>
  <c r="K289" i="17"/>
  <c r="L289" i="17"/>
  <c r="M289" i="17"/>
  <c r="E290" i="17"/>
  <c r="K290" i="17"/>
  <c r="D290" i="17" s="1"/>
  <c r="L290" i="17"/>
  <c r="M290" i="17"/>
  <c r="O290" i="17"/>
  <c r="N290" i="17" s="1"/>
  <c r="P290" i="17"/>
  <c r="K291" i="17"/>
  <c r="L291" i="17"/>
  <c r="O291" i="17"/>
  <c r="P291" i="17"/>
  <c r="E292" i="17"/>
  <c r="K292" i="17"/>
  <c r="D292" i="17" s="1"/>
  <c r="L292" i="17"/>
  <c r="M292" i="17"/>
  <c r="O292" i="17"/>
  <c r="P292" i="17"/>
  <c r="K293" i="17"/>
  <c r="M293" i="17"/>
  <c r="O293" i="17"/>
  <c r="N293" i="17" s="1"/>
  <c r="K294" i="17"/>
  <c r="L294" i="17"/>
  <c r="O294" i="17"/>
  <c r="P294" i="17"/>
  <c r="E295" i="17"/>
  <c r="K295" i="17"/>
  <c r="D295" i="17" s="1"/>
  <c r="L295" i="17"/>
  <c r="M295" i="17"/>
  <c r="O295" i="17"/>
  <c r="P295" i="17"/>
  <c r="K296" i="17"/>
  <c r="L296" i="17"/>
  <c r="P296" i="17"/>
  <c r="E297" i="17"/>
  <c r="K297" i="17"/>
  <c r="L297" i="17"/>
  <c r="M297" i="17"/>
  <c r="K298" i="17"/>
  <c r="L298" i="17"/>
  <c r="M298" i="17"/>
  <c r="K299" i="17"/>
  <c r="L299" i="17"/>
  <c r="M299" i="17"/>
  <c r="O299" i="17"/>
  <c r="N299" i="17" s="1"/>
  <c r="P299" i="17"/>
  <c r="E300" i="17"/>
  <c r="K300" i="17"/>
  <c r="D300" i="17" s="1"/>
  <c r="L300" i="17"/>
  <c r="M300" i="17"/>
  <c r="O300" i="17"/>
  <c r="N300" i="17" s="1"/>
  <c r="P300" i="17"/>
  <c r="E301" i="17"/>
  <c r="K301" i="17"/>
  <c r="M301" i="17"/>
  <c r="P301" i="17"/>
  <c r="K302" i="17"/>
  <c r="L302" i="17"/>
  <c r="O302" i="17"/>
  <c r="K303" i="17"/>
  <c r="L303" i="17"/>
  <c r="M303" i="17"/>
  <c r="O303" i="17"/>
  <c r="P303" i="17"/>
  <c r="E304" i="17"/>
  <c r="K304" i="17"/>
  <c r="L304" i="17"/>
  <c r="M304" i="17"/>
  <c r="P304" i="17"/>
  <c r="K305" i="17"/>
  <c r="L305" i="17"/>
  <c r="O305" i="17"/>
  <c r="E306" i="17"/>
  <c r="K306" i="17"/>
  <c r="L306" i="17"/>
  <c r="M306" i="17"/>
  <c r="K307" i="17"/>
  <c r="L307" i="17"/>
  <c r="M307" i="17"/>
  <c r="E308" i="17"/>
  <c r="K308" i="17"/>
  <c r="D308" i="17" s="1"/>
  <c r="L308" i="17"/>
  <c r="M308" i="17"/>
  <c r="O308" i="17"/>
  <c r="N308" i="17" s="1"/>
  <c r="P308" i="17"/>
  <c r="E309" i="17"/>
  <c r="K309" i="17"/>
  <c r="M309" i="17"/>
  <c r="O309" i="17"/>
  <c r="N309" i="17" s="1"/>
  <c r="P309" i="17"/>
  <c r="E310" i="17"/>
  <c r="K310" i="17"/>
  <c r="L310" i="17"/>
  <c r="P310" i="17"/>
  <c r="K311" i="17"/>
  <c r="L311" i="17"/>
  <c r="M311" i="17"/>
  <c r="O311" i="17"/>
  <c r="K312" i="17"/>
  <c r="L312" i="17"/>
  <c r="M312" i="17"/>
  <c r="P312" i="17"/>
  <c r="E313" i="17"/>
  <c r="K313" i="17"/>
  <c r="L313" i="17"/>
  <c r="M313" i="17"/>
  <c r="O313" i="17"/>
  <c r="N313" i="17" s="1"/>
  <c r="K314" i="17"/>
  <c r="L314" i="17"/>
  <c r="O314" i="17"/>
  <c r="P314" i="17"/>
  <c r="K315" i="17"/>
  <c r="L315" i="17"/>
  <c r="M315" i="17"/>
  <c r="E316" i="17"/>
  <c r="K316" i="17"/>
  <c r="D316" i="17" s="1"/>
  <c r="L316" i="17"/>
  <c r="M316" i="17"/>
  <c r="O316" i="17"/>
  <c r="P316" i="17"/>
  <c r="K317" i="17"/>
  <c r="M317" i="17"/>
  <c r="O317" i="17"/>
  <c r="N317" i="17" s="1"/>
  <c r="P317" i="17"/>
  <c r="E318" i="17"/>
  <c r="K318" i="17"/>
  <c r="L318" i="17"/>
  <c r="O318" i="17"/>
  <c r="P318" i="17"/>
  <c r="K319" i="17"/>
  <c r="K320" i="17"/>
  <c r="L320" i="17"/>
  <c r="M320" i="17"/>
  <c r="K321" i="17"/>
  <c r="E322" i="17"/>
  <c r="K322" i="17"/>
  <c r="D322" i="17" s="1"/>
  <c r="L322" i="17"/>
  <c r="M322" i="17"/>
  <c r="O322" i="17"/>
  <c r="P322" i="17"/>
  <c r="K323" i="17"/>
  <c r="L323" i="17"/>
  <c r="O323" i="17"/>
  <c r="P323" i="17"/>
  <c r="E324" i="17"/>
  <c r="K324" i="17"/>
  <c r="D324" i="17" s="1"/>
  <c r="L324" i="17"/>
  <c r="M324" i="17"/>
  <c r="O324" i="17"/>
  <c r="P324" i="17"/>
  <c r="K325" i="17"/>
  <c r="M325" i="17"/>
  <c r="K326" i="17"/>
  <c r="L326" i="17"/>
  <c r="O326" i="17"/>
  <c r="P326" i="17"/>
  <c r="E327" i="17"/>
  <c r="K327" i="17"/>
  <c r="D327" i="17" s="1"/>
  <c r="L327" i="17"/>
  <c r="M327" i="17"/>
  <c r="O327" i="17"/>
  <c r="P327" i="17"/>
  <c r="K328" i="17"/>
  <c r="L328" i="17"/>
  <c r="K329" i="17"/>
  <c r="L329" i="17"/>
  <c r="M329" i="17"/>
  <c r="K330" i="17"/>
  <c r="L330" i="17"/>
  <c r="K331" i="17"/>
  <c r="L331" i="17"/>
  <c r="M331" i="17"/>
  <c r="O331" i="17"/>
  <c r="N331" i="17" s="1"/>
  <c r="P331" i="17"/>
  <c r="E332" i="17"/>
  <c r="K332" i="17"/>
  <c r="D332" i="17" s="1"/>
  <c r="L332" i="17"/>
  <c r="M332" i="17"/>
  <c r="O332" i="17"/>
  <c r="N332" i="17" s="1"/>
  <c r="P332" i="17"/>
  <c r="K333" i="17"/>
  <c r="M333" i="17"/>
  <c r="P333" i="17"/>
  <c r="K334" i="17"/>
  <c r="L334" i="17"/>
  <c r="K335" i="17"/>
  <c r="L335" i="17"/>
  <c r="M335" i="17"/>
  <c r="O335" i="17"/>
  <c r="P335" i="17"/>
  <c r="E336" i="17"/>
  <c r="K336" i="17"/>
  <c r="L336" i="17"/>
  <c r="M336" i="17"/>
  <c r="P336" i="17"/>
  <c r="K337" i="17"/>
  <c r="L337" i="17"/>
  <c r="K338" i="17"/>
  <c r="L338" i="17"/>
  <c r="M338" i="17"/>
  <c r="K339" i="17"/>
  <c r="L339" i="17"/>
  <c r="E340" i="17"/>
  <c r="K340" i="17"/>
  <c r="D340" i="17" s="1"/>
  <c r="L340" i="17"/>
  <c r="M340" i="17"/>
  <c r="O340" i="17"/>
  <c r="P340" i="17"/>
  <c r="E341" i="17"/>
  <c r="K341" i="17"/>
  <c r="M341" i="17"/>
  <c r="O341" i="17"/>
  <c r="N341" i="17" s="1"/>
  <c r="P341" i="17"/>
  <c r="K342" i="17"/>
  <c r="L342" i="17"/>
  <c r="P342" i="17"/>
  <c r="K343" i="17"/>
  <c r="L343" i="17"/>
  <c r="K344" i="17"/>
  <c r="L344" i="17"/>
  <c r="M344" i="17"/>
  <c r="P344" i="17"/>
  <c r="E345" i="17"/>
  <c r="K345" i="17"/>
  <c r="L345" i="17"/>
  <c r="M345" i="17"/>
  <c r="O345" i="17"/>
  <c r="N345" i="17" s="1"/>
  <c r="K346" i="17"/>
  <c r="L346" i="17"/>
  <c r="K347" i="17"/>
  <c r="L347" i="17"/>
  <c r="M347" i="17"/>
  <c r="E348" i="17"/>
  <c r="K348" i="17"/>
  <c r="D348" i="17" s="1"/>
  <c r="L348" i="17"/>
  <c r="M348" i="17"/>
  <c r="O348" i="17"/>
  <c r="N348" i="17" s="1"/>
  <c r="P348" i="17"/>
  <c r="K349" i="17"/>
  <c r="M349" i="17"/>
  <c r="E350" i="17"/>
  <c r="K350" i="17"/>
  <c r="L350" i="17"/>
  <c r="O350" i="17"/>
  <c r="P350" i="17"/>
  <c r="K351" i="17"/>
  <c r="L351" i="17"/>
  <c r="P351" i="17"/>
  <c r="K352" i="17"/>
  <c r="L352" i="17"/>
  <c r="K353" i="17"/>
  <c r="P353" i="17" s="1"/>
  <c r="L353" i="17"/>
  <c r="M353" i="17"/>
  <c r="O353" i="17"/>
  <c r="E354" i="17"/>
  <c r="K354" i="17"/>
  <c r="D354" i="17" s="1"/>
  <c r="L354" i="17"/>
  <c r="M354" i="17"/>
  <c r="O354" i="17"/>
  <c r="P354" i="17"/>
  <c r="K355" i="17"/>
  <c r="L355" i="17"/>
  <c r="M355" i="17"/>
  <c r="D356" i="17"/>
  <c r="K356" i="17"/>
  <c r="E356" i="17" s="1"/>
  <c r="L356" i="17"/>
  <c r="M356" i="17"/>
  <c r="O356" i="17"/>
  <c r="P356" i="17"/>
  <c r="D357" i="17"/>
  <c r="E357" i="17"/>
  <c r="K357" i="17"/>
  <c r="L357" i="17"/>
  <c r="M357" i="17"/>
  <c r="O357" i="17"/>
  <c r="P357" i="17"/>
  <c r="D358" i="17"/>
  <c r="K358" i="17"/>
  <c r="O358" i="17"/>
  <c r="P358" i="17"/>
  <c r="K359" i="17"/>
  <c r="L359" i="17"/>
  <c r="K360" i="17"/>
  <c r="L360" i="17"/>
  <c r="M360" i="17"/>
  <c r="D361" i="17"/>
  <c r="E361" i="17"/>
  <c r="K361" i="17"/>
  <c r="P361" i="17" s="1"/>
  <c r="L361" i="17"/>
  <c r="M361" i="17"/>
  <c r="O361" i="17"/>
  <c r="K362" i="17"/>
  <c r="D362" i="17" s="1"/>
  <c r="L362" i="17"/>
  <c r="M362" i="17"/>
  <c r="K363" i="17"/>
  <c r="L363" i="17"/>
  <c r="M363" i="17"/>
  <c r="O363" i="17"/>
  <c r="P363" i="17"/>
  <c r="D364" i="17"/>
  <c r="K364" i="17"/>
  <c r="E364" i="17" s="1"/>
  <c r="L364" i="17"/>
  <c r="M364" i="17"/>
  <c r="O364" i="17"/>
  <c r="P364" i="17"/>
  <c r="D365" i="17"/>
  <c r="E365" i="17"/>
  <c r="K365" i="17"/>
  <c r="L365" i="17"/>
  <c r="M365" i="17"/>
  <c r="O365" i="17"/>
  <c r="P365" i="17"/>
  <c r="K366" i="17"/>
  <c r="O366" i="17"/>
  <c r="K367" i="17"/>
  <c r="L367" i="17"/>
  <c r="P367" i="17"/>
  <c r="D368" i="17"/>
  <c r="E368" i="17"/>
  <c r="K368" i="17"/>
  <c r="L368" i="17"/>
  <c r="M368" i="17"/>
  <c r="K369" i="17"/>
  <c r="P369" i="17" s="1"/>
  <c r="L369" i="17"/>
  <c r="M369" i="17"/>
  <c r="K370" i="17"/>
  <c r="D370" i="17" s="1"/>
  <c r="L370" i="17"/>
  <c r="M370" i="17"/>
  <c r="O370" i="17"/>
  <c r="P370" i="17"/>
  <c r="K371" i="17"/>
  <c r="D372" i="17"/>
  <c r="K372" i="17"/>
  <c r="E372" i="17" s="1"/>
  <c r="L372" i="17"/>
  <c r="M372" i="17"/>
  <c r="O372" i="17"/>
  <c r="P372" i="17"/>
  <c r="D373" i="17"/>
  <c r="E373" i="17"/>
  <c r="K373" i="17"/>
  <c r="L373" i="17"/>
  <c r="M373" i="17"/>
  <c r="O373" i="17"/>
  <c r="P373" i="17"/>
  <c r="K374" i="17"/>
  <c r="O374" i="17"/>
  <c r="P374" i="17"/>
  <c r="D375" i="17"/>
  <c r="E375" i="17"/>
  <c r="K375" i="17"/>
  <c r="L375" i="17"/>
  <c r="P375" i="17"/>
  <c r="K376" i="17"/>
  <c r="L376" i="17"/>
  <c r="M376" i="17"/>
  <c r="K377" i="17"/>
  <c r="P377" i="17" s="1"/>
  <c r="L377" i="17"/>
  <c r="M377" i="17"/>
  <c r="O377" i="17"/>
  <c r="K378" i="17"/>
  <c r="D378" i="17" s="1"/>
  <c r="K379" i="17"/>
  <c r="L379" i="17"/>
  <c r="M379" i="17"/>
  <c r="O379" i="17"/>
  <c r="D380" i="17"/>
  <c r="K380" i="17"/>
  <c r="E380" i="17" s="1"/>
  <c r="L380" i="17"/>
  <c r="M380" i="17"/>
  <c r="O380" i="17"/>
  <c r="P380" i="17"/>
  <c r="D381" i="17"/>
  <c r="E381" i="17"/>
  <c r="K381" i="17"/>
  <c r="L381" i="17"/>
  <c r="M381" i="17"/>
  <c r="O381" i="17"/>
  <c r="P381" i="17"/>
  <c r="D382" i="17"/>
  <c r="E382" i="17"/>
  <c r="K382" i="17"/>
  <c r="O382" i="17"/>
  <c r="P382" i="17"/>
  <c r="K383" i="17"/>
  <c r="L383" i="17"/>
  <c r="P383" i="17"/>
  <c r="K384" i="17"/>
  <c r="L384" i="17"/>
  <c r="M384" i="17"/>
  <c r="K385" i="17"/>
  <c r="P385" i="17" s="1"/>
  <c r="K386" i="17"/>
  <c r="D386" i="17" s="1"/>
  <c r="L386" i="17"/>
  <c r="M386" i="17"/>
  <c r="O386" i="17"/>
  <c r="K387" i="17"/>
  <c r="L387" i="17"/>
  <c r="M387" i="17"/>
  <c r="O387" i="17"/>
  <c r="P387" i="17"/>
  <c r="D388" i="17"/>
  <c r="K388" i="17"/>
  <c r="E388" i="17" s="1"/>
  <c r="L388" i="17"/>
  <c r="M388" i="17"/>
  <c r="O388" i="17"/>
  <c r="P388" i="17"/>
  <c r="D389" i="17"/>
  <c r="E389" i="17"/>
  <c r="K389" i="17"/>
  <c r="L389" i="17"/>
  <c r="M389" i="17"/>
  <c r="O389" i="17"/>
  <c r="P389" i="17"/>
  <c r="K390" i="17"/>
  <c r="O390" i="17"/>
  <c r="P390" i="17"/>
  <c r="K391" i="17"/>
  <c r="L391" i="17"/>
  <c r="P391" i="17"/>
  <c r="K392" i="17"/>
  <c r="K393" i="17"/>
  <c r="P393" i="17" s="1"/>
  <c r="L393" i="17"/>
  <c r="M393" i="17"/>
  <c r="O393" i="17"/>
  <c r="K394" i="17"/>
  <c r="D394" i="17" s="1"/>
  <c r="L394" i="17"/>
  <c r="M394" i="17"/>
  <c r="O394" i="17"/>
  <c r="P394" i="17"/>
  <c r="K395" i="17"/>
  <c r="L395" i="17"/>
  <c r="D396" i="17"/>
  <c r="K396" i="17"/>
  <c r="E396" i="17" s="1"/>
  <c r="L396" i="17"/>
  <c r="M396" i="17"/>
  <c r="O396" i="17"/>
  <c r="P396" i="17"/>
  <c r="D397" i="17"/>
  <c r="E397" i="17"/>
  <c r="K397" i="17"/>
  <c r="L397" i="17"/>
  <c r="M397" i="17"/>
  <c r="O397" i="17"/>
  <c r="P397" i="17"/>
  <c r="K398" i="17"/>
  <c r="O398" i="17"/>
  <c r="P398" i="17"/>
  <c r="K399" i="17"/>
  <c r="K400" i="17"/>
  <c r="L400" i="17"/>
  <c r="M400" i="17"/>
  <c r="D401" i="17"/>
  <c r="K401" i="17"/>
  <c r="P401" i="17" s="1"/>
  <c r="L401" i="17"/>
  <c r="M401" i="17"/>
  <c r="O401" i="17"/>
  <c r="K402" i="17"/>
  <c r="D402" i="17" s="1"/>
  <c r="L402" i="17"/>
  <c r="K403" i="17"/>
  <c r="L403" i="17"/>
  <c r="M403" i="17"/>
  <c r="O403" i="17"/>
  <c r="P403" i="17"/>
  <c r="D404" i="17"/>
  <c r="K404" i="17"/>
  <c r="E404" i="17" s="1"/>
  <c r="L404" i="17"/>
  <c r="M404" i="17"/>
  <c r="O404" i="17"/>
  <c r="P404" i="17"/>
  <c r="D405" i="17"/>
  <c r="E405" i="17"/>
  <c r="K405" i="17"/>
  <c r="L405" i="17"/>
  <c r="M405" i="17"/>
  <c r="O405" i="17"/>
  <c r="P405" i="17"/>
  <c r="K406" i="17"/>
  <c r="K407" i="17"/>
  <c r="L407" i="17"/>
  <c r="P407" i="17"/>
  <c r="D408" i="17"/>
  <c r="K408" i="17"/>
  <c r="L408" i="17"/>
  <c r="M408" i="17"/>
  <c r="K409" i="17"/>
  <c r="P409" i="17" s="1"/>
  <c r="L409" i="17"/>
  <c r="K410" i="17"/>
  <c r="D410" i="17" s="1"/>
  <c r="L410" i="17"/>
  <c r="M410" i="17"/>
  <c r="O410" i="17"/>
  <c r="P410" i="17"/>
  <c r="K411" i="17"/>
  <c r="L411" i="17"/>
  <c r="M411" i="17"/>
  <c r="O411" i="17"/>
  <c r="P411" i="17"/>
  <c r="D412" i="17"/>
  <c r="K412" i="17"/>
  <c r="E412" i="17" s="1"/>
  <c r="L412" i="17"/>
  <c r="M412" i="17"/>
  <c r="O412" i="17"/>
  <c r="P412" i="17"/>
  <c r="D413" i="17"/>
  <c r="E413" i="17"/>
  <c r="K413" i="17"/>
  <c r="L413" i="17"/>
  <c r="M413" i="17"/>
  <c r="O413" i="17"/>
  <c r="P413" i="17"/>
  <c r="K414" i="17"/>
  <c r="O414" i="17"/>
  <c r="P414" i="17"/>
  <c r="D415" i="17"/>
  <c r="K415" i="17"/>
  <c r="L415" i="17"/>
  <c r="P415" i="17"/>
  <c r="K416" i="17"/>
  <c r="L416" i="17"/>
  <c r="K417" i="17"/>
  <c r="P417" i="17" s="1"/>
  <c r="L417" i="17"/>
  <c r="M417" i="17"/>
  <c r="O417" i="17"/>
  <c r="E418" i="17"/>
  <c r="K418" i="17"/>
  <c r="D418" i="17" s="1"/>
  <c r="L418" i="17"/>
  <c r="M418" i="17"/>
  <c r="O418" i="17"/>
  <c r="P418" i="17"/>
  <c r="K419" i="17"/>
  <c r="L419" i="17"/>
  <c r="M419" i="17"/>
  <c r="D420" i="17"/>
  <c r="K420" i="17"/>
  <c r="E420" i="17" s="1"/>
  <c r="L420" i="17"/>
  <c r="M420" i="17"/>
  <c r="O420" i="17"/>
  <c r="P420" i="17"/>
  <c r="D421" i="17"/>
  <c r="E421" i="17"/>
  <c r="K421" i="17"/>
  <c r="L421" i="17"/>
  <c r="M421" i="17"/>
  <c r="O421" i="17"/>
  <c r="P421" i="17"/>
  <c r="D422" i="17"/>
  <c r="K422" i="17"/>
  <c r="O422" i="17"/>
  <c r="P422" i="17"/>
  <c r="K423" i="17"/>
  <c r="L423" i="17"/>
  <c r="K424" i="17"/>
  <c r="L424" i="17"/>
  <c r="M424" i="17"/>
  <c r="D425" i="17"/>
  <c r="E425" i="17"/>
  <c r="K425" i="17"/>
  <c r="P425" i="17" s="1"/>
  <c r="L425" i="17"/>
  <c r="M425" i="17"/>
  <c r="O425" i="17"/>
  <c r="K426" i="17"/>
  <c r="D426" i="17" s="1"/>
  <c r="L426" i="17"/>
  <c r="M426" i="17"/>
  <c r="K427" i="17"/>
  <c r="L427" i="17"/>
  <c r="M427" i="17"/>
  <c r="O427" i="17"/>
  <c r="P427" i="17"/>
  <c r="D428" i="17"/>
  <c r="K428" i="17"/>
  <c r="E428" i="17" s="1"/>
  <c r="L428" i="17"/>
  <c r="M428" i="17"/>
  <c r="O428" i="17"/>
  <c r="P428" i="17"/>
  <c r="D429" i="17"/>
  <c r="E429" i="17"/>
  <c r="K429" i="17"/>
  <c r="L429" i="17"/>
  <c r="M429" i="17"/>
  <c r="O429" i="17"/>
  <c r="P429" i="17"/>
  <c r="K430" i="17"/>
  <c r="O430" i="17"/>
  <c r="K431" i="17"/>
  <c r="L431" i="17"/>
  <c r="P431" i="17"/>
  <c r="D432" i="17"/>
  <c r="E432" i="17"/>
  <c r="K432" i="17"/>
  <c r="L432" i="17"/>
  <c r="M432" i="17"/>
  <c r="K433" i="17"/>
  <c r="P433" i="17" s="1"/>
  <c r="L433" i="17"/>
  <c r="M433" i="17"/>
  <c r="K434" i="17"/>
  <c r="D434" i="17" s="1"/>
  <c r="L434" i="17"/>
  <c r="M434" i="17"/>
  <c r="O434" i="17"/>
  <c r="P434" i="17"/>
  <c r="K435" i="17"/>
  <c r="D436" i="17"/>
  <c r="K436" i="17"/>
  <c r="E436" i="17" s="1"/>
  <c r="L436" i="17"/>
  <c r="M436" i="17"/>
  <c r="O436" i="17"/>
  <c r="P436" i="17"/>
  <c r="D437" i="17"/>
  <c r="E437" i="17"/>
  <c r="K437" i="17"/>
  <c r="L437" i="17"/>
  <c r="M437" i="17"/>
  <c r="O437" i="17"/>
  <c r="P437" i="17"/>
  <c r="K438" i="17"/>
  <c r="O438" i="17"/>
  <c r="P438" i="17"/>
  <c r="D439" i="17"/>
  <c r="E439" i="17"/>
  <c r="K439" i="17"/>
  <c r="L439" i="17"/>
  <c r="P439" i="17"/>
  <c r="K440" i="17"/>
  <c r="L440" i="17"/>
  <c r="M440" i="17"/>
  <c r="K441" i="17"/>
  <c r="P441" i="17" s="1"/>
  <c r="L441" i="17"/>
  <c r="M441" i="17"/>
  <c r="O441" i="17"/>
  <c r="K442" i="17"/>
  <c r="D442" i="17" s="1"/>
  <c r="K443" i="17"/>
  <c r="L443" i="17"/>
  <c r="M443" i="17"/>
  <c r="O443" i="17"/>
  <c r="D444" i="17"/>
  <c r="K444" i="17"/>
  <c r="E444" i="17" s="1"/>
  <c r="L444" i="17"/>
  <c r="M444" i="17"/>
  <c r="O444" i="17"/>
  <c r="P444" i="17"/>
  <c r="D445" i="17"/>
  <c r="E445" i="17"/>
  <c r="K445" i="17"/>
  <c r="L445" i="17"/>
  <c r="M445" i="17"/>
  <c r="O445" i="17"/>
  <c r="P445" i="17"/>
  <c r="D446" i="17"/>
  <c r="E446" i="17"/>
  <c r="K446" i="17"/>
  <c r="O446" i="17"/>
  <c r="P446" i="17"/>
  <c r="K447" i="17"/>
  <c r="L447" i="17"/>
  <c r="P447" i="17"/>
  <c r="K448" i="17"/>
  <c r="L448" i="17"/>
  <c r="M448" i="17"/>
  <c r="K449" i="17"/>
  <c r="P449" i="17" s="1"/>
  <c r="K450" i="17"/>
  <c r="D450" i="17" s="1"/>
  <c r="L450" i="17"/>
  <c r="M450" i="17"/>
  <c r="O450" i="17"/>
  <c r="K451" i="17"/>
  <c r="L451" i="17"/>
  <c r="M451" i="17"/>
  <c r="O451" i="17"/>
  <c r="P451" i="17"/>
  <c r="D452" i="17"/>
  <c r="K452" i="17"/>
  <c r="E452" i="17" s="1"/>
  <c r="L452" i="17"/>
  <c r="M452" i="17"/>
  <c r="O452" i="17"/>
  <c r="P452" i="17"/>
  <c r="D453" i="17"/>
  <c r="E453" i="17"/>
  <c r="K453" i="17"/>
  <c r="L453" i="17"/>
  <c r="M453" i="17"/>
  <c r="O453" i="17"/>
  <c r="P453" i="17"/>
  <c r="K454" i="17"/>
  <c r="O454" i="17"/>
  <c r="P454" i="17"/>
  <c r="K455" i="17"/>
  <c r="L455" i="17"/>
  <c r="P455" i="17"/>
  <c r="K456" i="17"/>
  <c r="K457" i="17"/>
  <c r="P457" i="17" s="1"/>
  <c r="L457" i="17"/>
  <c r="M457" i="17"/>
  <c r="O457" i="17"/>
  <c r="K458" i="17"/>
  <c r="L458" i="17"/>
  <c r="M458" i="17"/>
  <c r="O458" i="17"/>
  <c r="N458" i="17" s="1"/>
  <c r="K459" i="17"/>
  <c r="K460" i="17"/>
  <c r="L460" i="17"/>
  <c r="M460" i="17"/>
  <c r="K461" i="17"/>
  <c r="L461" i="17"/>
  <c r="M461" i="17"/>
  <c r="O461" i="17"/>
  <c r="N461" i="17" s="1"/>
  <c r="K462" i="17"/>
  <c r="L462" i="17"/>
  <c r="M462" i="17"/>
  <c r="O462" i="17"/>
  <c r="N462" i="17" s="1"/>
  <c r="K463" i="17"/>
  <c r="K464" i="17"/>
  <c r="L464" i="17"/>
  <c r="M464" i="17"/>
  <c r="K465" i="17"/>
  <c r="L465" i="17"/>
  <c r="M465" i="17"/>
  <c r="O465" i="17"/>
  <c r="N465" i="17" s="1"/>
  <c r="K466" i="17"/>
  <c r="L466" i="17"/>
  <c r="M466" i="17"/>
  <c r="O466" i="17"/>
  <c r="N466" i="17" s="1"/>
  <c r="K467" i="17"/>
  <c r="K468" i="17"/>
  <c r="L468" i="17"/>
  <c r="M468" i="17"/>
  <c r="K469" i="17"/>
  <c r="L469" i="17"/>
  <c r="M469" i="17"/>
  <c r="O469" i="17"/>
  <c r="N469" i="17" s="1"/>
  <c r="K470" i="17"/>
  <c r="L470" i="17"/>
  <c r="M470" i="17"/>
  <c r="O470" i="17"/>
  <c r="N470" i="17" s="1"/>
  <c r="K471" i="17"/>
  <c r="K472" i="17"/>
  <c r="L472" i="17"/>
  <c r="M472" i="17"/>
  <c r="K473" i="17"/>
  <c r="L473" i="17"/>
  <c r="M473" i="17"/>
  <c r="O473" i="17"/>
  <c r="N473" i="17" s="1"/>
  <c r="K474" i="17"/>
  <c r="L474" i="17"/>
  <c r="M474" i="17"/>
  <c r="O474" i="17"/>
  <c r="N474" i="17" s="1"/>
  <c r="K475" i="17"/>
  <c r="K476" i="17"/>
  <c r="L476" i="17"/>
  <c r="M476" i="17"/>
  <c r="K477" i="17"/>
  <c r="L477" i="17"/>
  <c r="M477" i="17"/>
  <c r="O477" i="17"/>
  <c r="N477" i="17" s="1"/>
  <c r="K478" i="17"/>
  <c r="L478" i="17"/>
  <c r="M478" i="17"/>
  <c r="O478" i="17"/>
  <c r="N478" i="17" s="1"/>
  <c r="K479" i="17"/>
  <c r="K480" i="17"/>
  <c r="L480" i="17"/>
  <c r="M480" i="17"/>
  <c r="K481" i="17"/>
  <c r="L481" i="17"/>
  <c r="M481" i="17"/>
  <c r="O481" i="17"/>
  <c r="N481" i="17" s="1"/>
  <c r="K482" i="17"/>
  <c r="L482" i="17"/>
  <c r="M482" i="17"/>
  <c r="O482" i="17"/>
  <c r="N482" i="17" s="1"/>
  <c r="K483" i="17"/>
  <c r="K484" i="17"/>
  <c r="L484" i="17"/>
  <c r="M484" i="17"/>
  <c r="K485" i="17"/>
  <c r="L485" i="17"/>
  <c r="M485" i="17"/>
  <c r="O485" i="17"/>
  <c r="N485" i="17" s="1"/>
  <c r="K486" i="17"/>
  <c r="L486" i="17"/>
  <c r="M486" i="17"/>
  <c r="O486" i="17"/>
  <c r="N486" i="17" s="1"/>
  <c r="K487" i="17"/>
  <c r="K488" i="17"/>
  <c r="L488" i="17"/>
  <c r="M488" i="17"/>
  <c r="K489" i="17"/>
  <c r="L489" i="17"/>
  <c r="M489" i="17"/>
  <c r="O489" i="17"/>
  <c r="N489" i="17" s="1"/>
  <c r="K490" i="17"/>
  <c r="L490" i="17"/>
  <c r="M490" i="17"/>
  <c r="O490" i="17"/>
  <c r="N490" i="17" s="1"/>
  <c r="K491" i="17"/>
  <c r="K492" i="17"/>
  <c r="L492" i="17"/>
  <c r="M492" i="17"/>
  <c r="K493" i="17"/>
  <c r="L493" i="17"/>
  <c r="M493" i="17"/>
  <c r="O493" i="17"/>
  <c r="N493" i="17" s="1"/>
  <c r="K494" i="17"/>
  <c r="L494" i="17"/>
  <c r="M494" i="17"/>
  <c r="O494" i="17"/>
  <c r="N494" i="17" s="1"/>
  <c r="K495" i="17"/>
  <c r="K496" i="17"/>
  <c r="L496" i="17"/>
  <c r="M496" i="17"/>
  <c r="K497" i="17"/>
  <c r="P497" i="17" s="1"/>
  <c r="L497" i="17"/>
  <c r="M497" i="17"/>
  <c r="K498" i="17"/>
  <c r="P498" i="17" s="1"/>
  <c r="L498" i="17"/>
  <c r="M498" i="17"/>
  <c r="O498" i="17"/>
  <c r="N498" i="17" s="1"/>
  <c r="K499" i="17"/>
  <c r="P499" i="17" s="1"/>
  <c r="L499" i="17"/>
  <c r="M499" i="17"/>
  <c r="O499" i="17"/>
  <c r="N499" i="17" s="1"/>
  <c r="D500" i="17"/>
  <c r="K500" i="17"/>
  <c r="P500" i="17" s="1"/>
  <c r="L500" i="17"/>
  <c r="M500" i="17"/>
  <c r="O500" i="17"/>
  <c r="N500" i="17" s="1"/>
  <c r="D501" i="17"/>
  <c r="E501" i="17"/>
  <c r="K501" i="17"/>
  <c r="P501" i="17" s="1"/>
  <c r="L501" i="17"/>
  <c r="M501" i="17"/>
  <c r="O501" i="17"/>
  <c r="N501" i="17" s="1"/>
  <c r="K502" i="17"/>
  <c r="P502" i="17" s="1"/>
  <c r="K503" i="17"/>
  <c r="P503" i="17" s="1"/>
  <c r="L503" i="17"/>
  <c r="K504" i="17"/>
  <c r="P504" i="17" s="1"/>
  <c r="L504" i="17"/>
  <c r="M504" i="17"/>
  <c r="K505" i="17"/>
  <c r="P505" i="17" s="1"/>
  <c r="L505" i="17"/>
  <c r="M505" i="17"/>
  <c r="K506" i="17"/>
  <c r="P506" i="17" s="1"/>
  <c r="L506" i="17"/>
  <c r="M506" i="17"/>
  <c r="O506" i="17"/>
  <c r="N506" i="17" s="1"/>
  <c r="K507" i="17"/>
  <c r="P507" i="17" s="1"/>
  <c r="L507" i="17"/>
  <c r="M507" i="17"/>
  <c r="O507" i="17"/>
  <c r="N507" i="17" s="1"/>
  <c r="D508" i="17"/>
  <c r="K508" i="17"/>
  <c r="P508" i="17" s="1"/>
  <c r="L508" i="17"/>
  <c r="M508" i="17"/>
  <c r="O508" i="17"/>
  <c r="N508" i="17" s="1"/>
  <c r="D509" i="17"/>
  <c r="E509" i="17"/>
  <c r="K509" i="17"/>
  <c r="P509" i="17" s="1"/>
  <c r="L509" i="17"/>
  <c r="M509" i="17"/>
  <c r="O509" i="17"/>
  <c r="N509" i="17" s="1"/>
  <c r="K510" i="17"/>
  <c r="P510" i="17" s="1"/>
  <c r="K511" i="17"/>
  <c r="P511" i="17" s="1"/>
  <c r="L511" i="17"/>
  <c r="K512" i="17"/>
  <c r="P512" i="17" s="1"/>
  <c r="L512" i="17"/>
  <c r="M512" i="17"/>
  <c r="K513" i="17"/>
  <c r="P513" i="17" s="1"/>
  <c r="L513" i="17"/>
  <c r="M513" i="17"/>
  <c r="K514" i="17"/>
  <c r="P514" i="17" s="1"/>
  <c r="L514" i="17"/>
  <c r="M514" i="17"/>
  <c r="O514" i="17"/>
  <c r="N514" i="17" s="1"/>
  <c r="K515" i="17"/>
  <c r="P515" i="17" s="1"/>
  <c r="L515" i="17"/>
  <c r="M515" i="17"/>
  <c r="O515" i="17"/>
  <c r="N515" i="17" s="1"/>
  <c r="D516" i="17"/>
  <c r="K516" i="17"/>
  <c r="P516" i="17" s="1"/>
  <c r="L516" i="17"/>
  <c r="M516" i="17"/>
  <c r="O516" i="17"/>
  <c r="N516" i="17" s="1"/>
  <c r="D517" i="17"/>
  <c r="E517" i="17"/>
  <c r="K517" i="17"/>
  <c r="P517" i="17" s="1"/>
  <c r="L517" i="17"/>
  <c r="M517" i="17"/>
  <c r="O517" i="17"/>
  <c r="N517" i="17" s="1"/>
  <c r="K518" i="17"/>
  <c r="P518" i="17" s="1"/>
  <c r="K519" i="17"/>
  <c r="P519" i="17" s="1"/>
  <c r="L519" i="17"/>
  <c r="K520" i="17"/>
  <c r="P520" i="17" s="1"/>
  <c r="L520" i="17"/>
  <c r="M520" i="17"/>
  <c r="K521" i="17"/>
  <c r="P521" i="17" s="1"/>
  <c r="L521" i="17"/>
  <c r="M521" i="17"/>
  <c r="K522" i="17"/>
  <c r="P522" i="17" s="1"/>
  <c r="L522" i="17"/>
  <c r="M522" i="17"/>
  <c r="O522" i="17"/>
  <c r="N522" i="17" s="1"/>
  <c r="K523" i="17"/>
  <c r="P523" i="17" s="1"/>
  <c r="L523" i="17"/>
  <c r="M523" i="17"/>
  <c r="O523" i="17"/>
  <c r="N523" i="17" s="1"/>
  <c r="D524" i="17"/>
  <c r="K524" i="17"/>
  <c r="P524" i="17" s="1"/>
  <c r="L524" i="17"/>
  <c r="M524" i="17"/>
  <c r="O524" i="17"/>
  <c r="N524" i="17" s="1"/>
  <c r="D525" i="17"/>
  <c r="E525" i="17"/>
  <c r="K525" i="17"/>
  <c r="P525" i="17" s="1"/>
  <c r="L525" i="17"/>
  <c r="M525" i="17"/>
  <c r="O525" i="17"/>
  <c r="N525" i="17" s="1"/>
  <c r="K526" i="17"/>
  <c r="P526" i="17" s="1"/>
  <c r="K527" i="17"/>
  <c r="P527" i="17" s="1"/>
  <c r="L527" i="17"/>
  <c r="K528" i="17"/>
  <c r="P528" i="17" s="1"/>
  <c r="L528" i="17"/>
  <c r="M528" i="17"/>
  <c r="K529" i="17"/>
  <c r="P529" i="17" s="1"/>
  <c r="L529" i="17"/>
  <c r="M529" i="17"/>
  <c r="K266" i="17"/>
  <c r="D266" i="17" s="1"/>
  <c r="K15" i="17"/>
  <c r="D15" i="17" s="1"/>
  <c r="D11" i="16"/>
  <c r="G11" i="16" s="1"/>
  <c r="D10" i="16"/>
  <c r="G10" i="16" s="1"/>
  <c r="D9" i="16"/>
  <c r="G9" i="16" s="1"/>
  <c r="D8" i="16"/>
  <c r="G8" i="16" s="1"/>
  <c r="N292" i="17" l="1"/>
  <c r="N372" i="17"/>
  <c r="N340" i="17"/>
  <c r="N316" i="17"/>
  <c r="N324" i="17"/>
  <c r="N436" i="17"/>
  <c r="N413" i="17"/>
  <c r="N322" i="17"/>
  <c r="P495" i="17"/>
  <c r="D495" i="17"/>
  <c r="P491" i="17"/>
  <c r="D491" i="17"/>
  <c r="P487" i="17"/>
  <c r="D487" i="17"/>
  <c r="P483" i="17"/>
  <c r="D483" i="17"/>
  <c r="P479" i="17"/>
  <c r="D479" i="17"/>
  <c r="P475" i="17"/>
  <c r="D475" i="17"/>
  <c r="P471" i="17"/>
  <c r="D471" i="17"/>
  <c r="P467" i="17"/>
  <c r="D467" i="17"/>
  <c r="P463" i="17"/>
  <c r="D463" i="17"/>
  <c r="P459" i="17"/>
  <c r="D459" i="17"/>
  <c r="O456" i="17"/>
  <c r="P456" i="17"/>
  <c r="D435" i="17"/>
  <c r="E435" i="17"/>
  <c r="L406" i="17"/>
  <c r="M406" i="17"/>
  <c r="M399" i="17"/>
  <c r="O399" i="17"/>
  <c r="O392" i="17"/>
  <c r="P392" i="17"/>
  <c r="D371" i="17"/>
  <c r="E371" i="17"/>
  <c r="D321" i="17"/>
  <c r="P321" i="17"/>
  <c r="E321" i="17"/>
  <c r="D319" i="17"/>
  <c r="M319" i="17"/>
  <c r="O319" i="17"/>
  <c r="E526" i="17"/>
  <c r="E518" i="17"/>
  <c r="E510" i="17"/>
  <c r="E502" i="17"/>
  <c r="E495" i="17"/>
  <c r="E491" i="17"/>
  <c r="E487" i="17"/>
  <c r="E483" i="17"/>
  <c r="E479" i="17"/>
  <c r="E475" i="17"/>
  <c r="E471" i="17"/>
  <c r="E467" i="17"/>
  <c r="E463" i="17"/>
  <c r="E459" i="17"/>
  <c r="N457" i="17"/>
  <c r="E456" i="17"/>
  <c r="N450" i="17"/>
  <c r="E449" i="17"/>
  <c r="N443" i="17"/>
  <c r="E442" i="17"/>
  <c r="N437" i="17"/>
  <c r="L430" i="17"/>
  <c r="M430" i="17"/>
  <c r="N430" i="17" s="1"/>
  <c r="M423" i="17"/>
  <c r="O423" i="17"/>
  <c r="O416" i="17"/>
  <c r="P416" i="17"/>
  <c r="E406" i="17"/>
  <c r="E399" i="17"/>
  <c r="N396" i="17"/>
  <c r="D395" i="17"/>
  <c r="E395" i="17"/>
  <c r="N393" i="17"/>
  <c r="E392" i="17"/>
  <c r="N386" i="17"/>
  <c r="E385" i="17"/>
  <c r="N379" i="17"/>
  <c r="E378" i="17"/>
  <c r="N373" i="17"/>
  <c r="L366" i="17"/>
  <c r="M366" i="17"/>
  <c r="N366" i="17" s="1"/>
  <c r="M359" i="17"/>
  <c r="O359" i="17"/>
  <c r="O352" i="17"/>
  <c r="P352" i="17"/>
  <c r="D346" i="17"/>
  <c r="M346" i="17"/>
  <c r="D343" i="17"/>
  <c r="P343" i="17"/>
  <c r="D339" i="17"/>
  <c r="E339" i="17"/>
  <c r="D337" i="17"/>
  <c r="P337" i="17"/>
  <c r="M337" i="17"/>
  <c r="D334" i="17"/>
  <c r="M334" i="17"/>
  <c r="P334" i="17"/>
  <c r="D330" i="17"/>
  <c r="E330" i="17"/>
  <c r="D328" i="17"/>
  <c r="O328" i="17"/>
  <c r="M328" i="17"/>
  <c r="D325" i="17"/>
  <c r="L325" i="17"/>
  <c r="P325" i="17"/>
  <c r="E319" i="17"/>
  <c r="N311" i="17"/>
  <c r="D283" i="17"/>
  <c r="E283" i="17"/>
  <c r="O283" i="17"/>
  <c r="P283" i="17"/>
  <c r="D280" i="17"/>
  <c r="O280" i="17"/>
  <c r="E280" i="17"/>
  <c r="D278" i="17"/>
  <c r="M278" i="17"/>
  <c r="O278" i="17"/>
  <c r="D274" i="17"/>
  <c r="O274" i="17"/>
  <c r="P274" i="17"/>
  <c r="D271" i="17"/>
  <c r="E271" i="17"/>
  <c r="D269" i="17"/>
  <c r="L269" i="17"/>
  <c r="O269" i="17"/>
  <c r="N269" i="17" s="1"/>
  <c r="E527" i="17"/>
  <c r="D526" i="17"/>
  <c r="E519" i="17"/>
  <c r="D518" i="17"/>
  <c r="E511" i="17"/>
  <c r="D510" i="17"/>
  <c r="E503" i="17"/>
  <c r="D502" i="17"/>
  <c r="P496" i="17"/>
  <c r="D496" i="17"/>
  <c r="P492" i="17"/>
  <c r="D492" i="17"/>
  <c r="P488" i="17"/>
  <c r="D488" i="17"/>
  <c r="P484" i="17"/>
  <c r="D484" i="17"/>
  <c r="P480" i="17"/>
  <c r="D480" i="17"/>
  <c r="P476" i="17"/>
  <c r="D476" i="17"/>
  <c r="P472" i="17"/>
  <c r="D472" i="17"/>
  <c r="P468" i="17"/>
  <c r="D468" i="17"/>
  <c r="P464" i="17"/>
  <c r="D464" i="17"/>
  <c r="P460" i="17"/>
  <c r="D460" i="17"/>
  <c r="D456" i="17"/>
  <c r="L454" i="17"/>
  <c r="M454" i="17"/>
  <c r="N454" i="17" s="1"/>
  <c r="D449" i="17"/>
  <c r="M447" i="17"/>
  <c r="O447" i="17"/>
  <c r="O440" i="17"/>
  <c r="N440" i="17" s="1"/>
  <c r="P440" i="17"/>
  <c r="E430" i="17"/>
  <c r="E423" i="17"/>
  <c r="N420" i="17"/>
  <c r="D419" i="17"/>
  <c r="E419" i="17"/>
  <c r="N417" i="17"/>
  <c r="E416" i="17"/>
  <c r="N410" i="17"/>
  <c r="E409" i="17"/>
  <c r="D406" i="17"/>
  <c r="N403" i="17"/>
  <c r="E402" i="17"/>
  <c r="D399" i="17"/>
  <c r="N397" i="17"/>
  <c r="D392" i="17"/>
  <c r="L390" i="17"/>
  <c r="M390" i="17"/>
  <c r="N390" i="17" s="1"/>
  <c r="D385" i="17"/>
  <c r="M383" i="17"/>
  <c r="O383" i="17"/>
  <c r="O376" i="17"/>
  <c r="N376" i="17" s="1"/>
  <c r="P376" i="17"/>
  <c r="E366" i="17"/>
  <c r="E359" i="17"/>
  <c r="N356" i="17"/>
  <c r="D355" i="17"/>
  <c r="E355" i="17"/>
  <c r="N353" i="17"/>
  <c r="E352" i="17"/>
  <c r="D349" i="17"/>
  <c r="L349" i="17"/>
  <c r="E349" i="17"/>
  <c r="E346" i="17"/>
  <c r="E343" i="17"/>
  <c r="E337" i="17"/>
  <c r="E334" i="17"/>
  <c r="E328" i="17"/>
  <c r="E325" i="17"/>
  <c r="D289" i="17"/>
  <c r="P289" i="17"/>
  <c r="E289" i="17"/>
  <c r="D287" i="17"/>
  <c r="M287" i="17"/>
  <c r="O287" i="17"/>
  <c r="E278" i="17"/>
  <c r="E274" i="17"/>
  <c r="E269" i="17"/>
  <c r="E528" i="17"/>
  <c r="D527" i="17"/>
  <c r="E520" i="17"/>
  <c r="D519" i="17"/>
  <c r="E512" i="17"/>
  <c r="D511" i="17"/>
  <c r="E504" i="17"/>
  <c r="D503" i="17"/>
  <c r="E496" i="17"/>
  <c r="E492" i="17"/>
  <c r="E488" i="17"/>
  <c r="E484" i="17"/>
  <c r="E480" i="17"/>
  <c r="E476" i="17"/>
  <c r="E472" i="17"/>
  <c r="E468" i="17"/>
  <c r="E464" i="17"/>
  <c r="E460" i="17"/>
  <c r="E454" i="17"/>
  <c r="E447" i="17"/>
  <c r="N444" i="17"/>
  <c r="D443" i="17"/>
  <c r="E443" i="17"/>
  <c r="N441" i="17"/>
  <c r="E440" i="17"/>
  <c r="N434" i="17"/>
  <c r="E433" i="17"/>
  <c r="D430" i="17"/>
  <c r="N427" i="17"/>
  <c r="E426" i="17"/>
  <c r="D423" i="17"/>
  <c r="N421" i="17"/>
  <c r="D416" i="17"/>
  <c r="L414" i="17"/>
  <c r="M414" i="17"/>
  <c r="N414" i="17" s="1"/>
  <c r="D409" i="17"/>
  <c r="M407" i="17"/>
  <c r="O407" i="17"/>
  <c r="O400" i="17"/>
  <c r="N400" i="17" s="1"/>
  <c r="P400" i="17"/>
  <c r="E390" i="17"/>
  <c r="E383" i="17"/>
  <c r="N380" i="17"/>
  <c r="D379" i="17"/>
  <c r="E379" i="17"/>
  <c r="N377" i="17"/>
  <c r="E376" i="17"/>
  <c r="N370" i="17"/>
  <c r="E369" i="17"/>
  <c r="D366" i="17"/>
  <c r="N363" i="17"/>
  <c r="E362" i="17"/>
  <c r="D359" i="17"/>
  <c r="N357" i="17"/>
  <c r="D352" i="17"/>
  <c r="N335" i="17"/>
  <c r="D314" i="17"/>
  <c r="M314" i="17"/>
  <c r="N314" i="17" s="1"/>
  <c r="D311" i="17"/>
  <c r="P311" i="17"/>
  <c r="D307" i="17"/>
  <c r="E307" i="17"/>
  <c r="D305" i="17"/>
  <c r="P305" i="17"/>
  <c r="M305" i="17"/>
  <c r="N305" i="17" s="1"/>
  <c r="D302" i="17"/>
  <c r="M302" i="17"/>
  <c r="N302" i="17" s="1"/>
  <c r="P302" i="17"/>
  <c r="D298" i="17"/>
  <c r="E298" i="17"/>
  <c r="D296" i="17"/>
  <c r="O296" i="17"/>
  <c r="M296" i="17"/>
  <c r="D293" i="17"/>
  <c r="L293" i="17"/>
  <c r="P293" i="17"/>
  <c r="E287" i="17"/>
  <c r="N279" i="17"/>
  <c r="E529" i="17"/>
  <c r="D528" i="17"/>
  <c r="O526" i="17"/>
  <c r="E521" i="17"/>
  <c r="D520" i="17"/>
  <c r="O518" i="17"/>
  <c r="E513" i="17"/>
  <c r="D512" i="17"/>
  <c r="O510" i="17"/>
  <c r="E505" i="17"/>
  <c r="D504" i="17"/>
  <c r="O502" i="17"/>
  <c r="E497" i="17"/>
  <c r="O495" i="17"/>
  <c r="P493" i="17"/>
  <c r="D493" i="17"/>
  <c r="O491" i="17"/>
  <c r="P489" i="17"/>
  <c r="D489" i="17"/>
  <c r="O487" i="17"/>
  <c r="P485" i="17"/>
  <c r="D485" i="17"/>
  <c r="O483" i="17"/>
  <c r="P481" i="17"/>
  <c r="D481" i="17"/>
  <c r="O479" i="17"/>
  <c r="P477" i="17"/>
  <c r="D477" i="17"/>
  <c r="O475" i="17"/>
  <c r="P473" i="17"/>
  <c r="D473" i="17"/>
  <c r="O471" i="17"/>
  <c r="P469" i="17"/>
  <c r="D469" i="17"/>
  <c r="O467" i="17"/>
  <c r="P465" i="17"/>
  <c r="D465" i="17"/>
  <c r="O463" i="17"/>
  <c r="P461" i="17"/>
  <c r="D461" i="17"/>
  <c r="O459" i="17"/>
  <c r="E457" i="17"/>
  <c r="D454" i="17"/>
  <c r="N451" i="17"/>
  <c r="E450" i="17"/>
  <c r="D447" i="17"/>
  <c r="N445" i="17"/>
  <c r="P442" i="17"/>
  <c r="D440" i="17"/>
  <c r="L438" i="17"/>
  <c r="M438" i="17"/>
  <c r="N438" i="17" s="1"/>
  <c r="P435" i="17"/>
  <c r="D433" i="17"/>
  <c r="M431" i="17"/>
  <c r="O431" i="17"/>
  <c r="O424" i="17"/>
  <c r="N424" i="17" s="1"/>
  <c r="P424" i="17"/>
  <c r="E414" i="17"/>
  <c r="E407" i="17"/>
  <c r="N404" i="17"/>
  <c r="D403" i="17"/>
  <c r="E403" i="17"/>
  <c r="N401" i="17"/>
  <c r="E400" i="17"/>
  <c r="N394" i="17"/>
  <c r="E393" i="17"/>
  <c r="D390" i="17"/>
  <c r="N387" i="17"/>
  <c r="E386" i="17"/>
  <c r="D383" i="17"/>
  <c r="N381" i="17"/>
  <c r="P378" i="17"/>
  <c r="D376" i="17"/>
  <c r="L374" i="17"/>
  <c r="M374" i="17"/>
  <c r="N374" i="17" s="1"/>
  <c r="P371" i="17"/>
  <c r="D369" i="17"/>
  <c r="M367" i="17"/>
  <c r="O367" i="17"/>
  <c r="O360" i="17"/>
  <c r="N360" i="17" s="1"/>
  <c r="P360" i="17"/>
  <c r="P339" i="17"/>
  <c r="P330" i="17"/>
  <c r="D323" i="17"/>
  <c r="E323" i="17"/>
  <c r="M323" i="17"/>
  <c r="N323" i="17" s="1"/>
  <c r="O321" i="17"/>
  <c r="D320" i="17"/>
  <c r="O320" i="17"/>
  <c r="N320" i="17" s="1"/>
  <c r="P320" i="17"/>
  <c r="D317" i="17"/>
  <c r="L317" i="17"/>
  <c r="E317" i="17"/>
  <c r="E314" i="17"/>
  <c r="E311" i="17"/>
  <c r="E305" i="17"/>
  <c r="E302" i="17"/>
  <c r="E296" i="17"/>
  <c r="E293" i="17"/>
  <c r="D529" i="17"/>
  <c r="O527" i="17"/>
  <c r="E522" i="17"/>
  <c r="D521" i="17"/>
  <c r="O519" i="17"/>
  <c r="E514" i="17"/>
  <c r="D513" i="17"/>
  <c r="O511" i="17"/>
  <c r="E506" i="17"/>
  <c r="D505" i="17"/>
  <c r="O503" i="17"/>
  <c r="E498" i="17"/>
  <c r="D497" i="17"/>
  <c r="E493" i="17"/>
  <c r="E489" i="17"/>
  <c r="E485" i="17"/>
  <c r="E481" i="17"/>
  <c r="E477" i="17"/>
  <c r="E473" i="17"/>
  <c r="E469" i="17"/>
  <c r="E465" i="17"/>
  <c r="E461" i="17"/>
  <c r="D457" i="17"/>
  <c r="M455" i="17"/>
  <c r="O455" i="17"/>
  <c r="O449" i="17"/>
  <c r="O448" i="17"/>
  <c r="N448" i="17" s="1"/>
  <c r="P448" i="17"/>
  <c r="O442" i="17"/>
  <c r="E438" i="17"/>
  <c r="O435" i="17"/>
  <c r="E431" i="17"/>
  <c r="N428" i="17"/>
  <c r="D427" i="17"/>
  <c r="E427" i="17"/>
  <c r="N425" i="17"/>
  <c r="E424" i="17"/>
  <c r="N418" i="17"/>
  <c r="E417" i="17"/>
  <c r="D414" i="17"/>
  <c r="N411" i="17"/>
  <c r="E410" i="17"/>
  <c r="D407" i="17"/>
  <c r="N405" i="17"/>
  <c r="P402" i="17"/>
  <c r="D400" i="17"/>
  <c r="L398" i="17"/>
  <c r="M398" i="17"/>
  <c r="N398" i="17" s="1"/>
  <c r="P395" i="17"/>
  <c r="D393" i="17"/>
  <c r="M391" i="17"/>
  <c r="O391" i="17"/>
  <c r="O385" i="17"/>
  <c r="O384" i="17"/>
  <c r="N384" i="17" s="1"/>
  <c r="P384" i="17"/>
  <c r="O378" i="17"/>
  <c r="E374" i="17"/>
  <c r="O371" i="17"/>
  <c r="E367" i="17"/>
  <c r="N364" i="17"/>
  <c r="D363" i="17"/>
  <c r="E363" i="17"/>
  <c r="N361" i="17"/>
  <c r="E360" i="17"/>
  <c r="N354" i="17"/>
  <c r="E353" i="17"/>
  <c r="D347" i="17"/>
  <c r="E347" i="17"/>
  <c r="O347" i="17"/>
  <c r="N347" i="17" s="1"/>
  <c r="P347" i="17"/>
  <c r="D344" i="17"/>
  <c r="O344" i="17"/>
  <c r="N344" i="17" s="1"/>
  <c r="E344" i="17"/>
  <c r="D342" i="17"/>
  <c r="M342" i="17"/>
  <c r="O342" i="17"/>
  <c r="O339" i="17"/>
  <c r="D338" i="17"/>
  <c r="O338" i="17"/>
  <c r="N338" i="17" s="1"/>
  <c r="P338" i="17"/>
  <c r="D335" i="17"/>
  <c r="E335" i="17"/>
  <c r="D333" i="17"/>
  <c r="L333" i="17"/>
  <c r="O333" i="17"/>
  <c r="N333" i="17" s="1"/>
  <c r="O330" i="17"/>
  <c r="D329" i="17"/>
  <c r="P329" i="17"/>
  <c r="O329" i="17"/>
  <c r="N329" i="17" s="1"/>
  <c r="N327" i="17"/>
  <c r="D326" i="17"/>
  <c r="M326" i="17"/>
  <c r="N326" i="17" s="1"/>
  <c r="E326" i="17"/>
  <c r="E320" i="17"/>
  <c r="N303" i="17"/>
  <c r="D282" i="17"/>
  <c r="M282" i="17"/>
  <c r="N282" i="17" s="1"/>
  <c r="P280" i="17"/>
  <c r="D279" i="17"/>
  <c r="P279" i="17"/>
  <c r="D275" i="17"/>
  <c r="E275" i="17"/>
  <c r="D273" i="17"/>
  <c r="P273" i="17"/>
  <c r="M273" i="17"/>
  <c r="N273" i="17" s="1"/>
  <c r="P271" i="17"/>
  <c r="D270" i="17"/>
  <c r="M270" i="17"/>
  <c r="N270" i="17" s="1"/>
  <c r="P270" i="17"/>
  <c r="O528" i="17"/>
  <c r="N528" i="17" s="1"/>
  <c r="M526" i="17"/>
  <c r="E523" i="17"/>
  <c r="D522" i="17"/>
  <c r="O520" i="17"/>
  <c r="N520" i="17" s="1"/>
  <c r="M518" i="17"/>
  <c r="E515" i="17"/>
  <c r="D514" i="17"/>
  <c r="O512" i="17"/>
  <c r="N512" i="17" s="1"/>
  <c r="M510" i="17"/>
  <c r="E507" i="17"/>
  <c r="D506" i="17"/>
  <c r="O504" i="17"/>
  <c r="N504" i="17" s="1"/>
  <c r="M502" i="17"/>
  <c r="E499" i="17"/>
  <c r="D498" i="17"/>
  <c r="O496" i="17"/>
  <c r="N496" i="17" s="1"/>
  <c r="M495" i="17"/>
  <c r="P494" i="17"/>
  <c r="D494" i="17"/>
  <c r="O492" i="17"/>
  <c r="N492" i="17" s="1"/>
  <c r="M491" i="17"/>
  <c r="P490" i="17"/>
  <c r="D490" i="17"/>
  <c r="O488" i="17"/>
  <c r="N488" i="17" s="1"/>
  <c r="M487" i="17"/>
  <c r="P486" i="17"/>
  <c r="D486" i="17"/>
  <c r="O484" i="17"/>
  <c r="N484" i="17" s="1"/>
  <c r="M483" i="17"/>
  <c r="P482" i="17"/>
  <c r="D482" i="17"/>
  <c r="O480" i="17"/>
  <c r="N480" i="17" s="1"/>
  <c r="M479" i="17"/>
  <c r="P478" i="17"/>
  <c r="D478" i="17"/>
  <c r="O476" i="17"/>
  <c r="N476" i="17" s="1"/>
  <c r="M475" i="17"/>
  <c r="P474" i="17"/>
  <c r="D474" i="17"/>
  <c r="O472" i="17"/>
  <c r="N472" i="17" s="1"/>
  <c r="M471" i="17"/>
  <c r="P470" i="17"/>
  <c r="D470" i="17"/>
  <c r="O468" i="17"/>
  <c r="N468" i="17" s="1"/>
  <c r="M467" i="17"/>
  <c r="P466" i="17"/>
  <c r="D466" i="17"/>
  <c r="O464" i="17"/>
  <c r="N464" i="17" s="1"/>
  <c r="M463" i="17"/>
  <c r="P462" i="17"/>
  <c r="D462" i="17"/>
  <c r="O460" i="17"/>
  <c r="N460" i="17" s="1"/>
  <c r="M459" i="17"/>
  <c r="P458" i="17"/>
  <c r="D458" i="17"/>
  <c r="M456" i="17"/>
  <c r="E455" i="17"/>
  <c r="N452" i="17"/>
  <c r="D451" i="17"/>
  <c r="E451" i="17"/>
  <c r="M449" i="17"/>
  <c r="E448" i="17"/>
  <c r="M442" i="17"/>
  <c r="N442" i="17" s="1"/>
  <c r="E441" i="17"/>
  <c r="D438" i="17"/>
  <c r="M435" i="17"/>
  <c r="E434" i="17"/>
  <c r="D431" i="17"/>
  <c r="N429" i="17"/>
  <c r="P426" i="17"/>
  <c r="D424" i="17"/>
  <c r="L422" i="17"/>
  <c r="M422" i="17"/>
  <c r="N422" i="17" s="1"/>
  <c r="P419" i="17"/>
  <c r="D417" i="17"/>
  <c r="M415" i="17"/>
  <c r="O415" i="17"/>
  <c r="O409" i="17"/>
  <c r="O408" i="17"/>
  <c r="N408" i="17" s="1"/>
  <c r="P408" i="17"/>
  <c r="P406" i="17"/>
  <c r="O402" i="17"/>
  <c r="P399" i="17"/>
  <c r="E398" i="17"/>
  <c r="O395" i="17"/>
  <c r="M392" i="17"/>
  <c r="E391" i="17"/>
  <c r="N388" i="17"/>
  <c r="D387" i="17"/>
  <c r="E387" i="17"/>
  <c r="M385" i="17"/>
  <c r="E384" i="17"/>
  <c r="M378" i="17"/>
  <c r="E377" i="17"/>
  <c r="D374" i="17"/>
  <c r="M371" i="17"/>
  <c r="E370" i="17"/>
  <c r="D367" i="17"/>
  <c r="N365" i="17"/>
  <c r="P362" i="17"/>
  <c r="D360" i="17"/>
  <c r="L358" i="17"/>
  <c r="M358" i="17"/>
  <c r="N358" i="17" s="1"/>
  <c r="P355" i="17"/>
  <c r="D353" i="17"/>
  <c r="D351" i="17"/>
  <c r="M351" i="17"/>
  <c r="O351" i="17"/>
  <c r="P349" i="17"/>
  <c r="P346" i="17"/>
  <c r="O343" i="17"/>
  <c r="E342" i="17"/>
  <c r="E338" i="17"/>
  <c r="O334" i="17"/>
  <c r="E333" i="17"/>
  <c r="E329" i="17"/>
  <c r="O325" i="17"/>
  <c r="N325" i="17" s="1"/>
  <c r="M321" i="17"/>
  <c r="N321" i="17" s="1"/>
  <c r="P319" i="17"/>
  <c r="P307" i="17"/>
  <c r="P298" i="17"/>
  <c r="D291" i="17"/>
  <c r="E291" i="17"/>
  <c r="M291" i="17"/>
  <c r="N291" i="17" s="1"/>
  <c r="O289" i="17"/>
  <c r="N289" i="17" s="1"/>
  <c r="D288" i="17"/>
  <c r="O288" i="17"/>
  <c r="N288" i="17" s="1"/>
  <c r="P288" i="17"/>
  <c r="D285" i="17"/>
  <c r="L285" i="17"/>
  <c r="E285" i="17"/>
  <c r="E282" i="17"/>
  <c r="E279" i="17"/>
  <c r="E273" i="17"/>
  <c r="O271" i="17"/>
  <c r="E270" i="17"/>
  <c r="O529" i="17"/>
  <c r="N529" i="17" s="1"/>
  <c r="M527" i="17"/>
  <c r="L526" i="17"/>
  <c r="E524" i="17"/>
  <c r="D523" i="17"/>
  <c r="O521" i="17"/>
  <c r="N521" i="17" s="1"/>
  <c r="M519" i="17"/>
  <c r="L518" i="17"/>
  <c r="E516" i="17"/>
  <c r="D515" i="17"/>
  <c r="O513" i="17"/>
  <c r="N513" i="17" s="1"/>
  <c r="M511" i="17"/>
  <c r="L510" i="17"/>
  <c r="E508" i="17"/>
  <c r="D507" i="17"/>
  <c r="O505" i="17"/>
  <c r="N505" i="17" s="1"/>
  <c r="M503" i="17"/>
  <c r="L502" i="17"/>
  <c r="E500" i="17"/>
  <c r="D499" i="17"/>
  <c r="O497" i="17"/>
  <c r="N497" i="17" s="1"/>
  <c r="L495" i="17"/>
  <c r="E494" i="17"/>
  <c r="L491" i="17"/>
  <c r="E490" i="17"/>
  <c r="L487" i="17"/>
  <c r="E486" i="17"/>
  <c r="L483" i="17"/>
  <c r="E482" i="17"/>
  <c r="L479" i="17"/>
  <c r="E478" i="17"/>
  <c r="L475" i="17"/>
  <c r="E474" i="17"/>
  <c r="L471" i="17"/>
  <c r="E470" i="17"/>
  <c r="L467" i="17"/>
  <c r="E466" i="17"/>
  <c r="L463" i="17"/>
  <c r="E462" i="17"/>
  <c r="L459" i="17"/>
  <c r="E458" i="17"/>
  <c r="L456" i="17"/>
  <c r="D455" i="17"/>
  <c r="N453" i="17"/>
  <c r="P450" i="17"/>
  <c r="L449" i="17"/>
  <c r="D448" i="17"/>
  <c r="L446" i="17"/>
  <c r="M446" i="17"/>
  <c r="N446" i="17" s="1"/>
  <c r="P443" i="17"/>
  <c r="L442" i="17"/>
  <c r="D441" i="17"/>
  <c r="M439" i="17"/>
  <c r="O439" i="17"/>
  <c r="L435" i="17"/>
  <c r="O433" i="17"/>
  <c r="N433" i="17" s="1"/>
  <c r="O432" i="17"/>
  <c r="N432" i="17" s="1"/>
  <c r="P432" i="17"/>
  <c r="P430" i="17"/>
  <c r="O426" i="17"/>
  <c r="N426" i="17" s="1"/>
  <c r="P423" i="17"/>
  <c r="E422" i="17"/>
  <c r="O419" i="17"/>
  <c r="N419" i="17" s="1"/>
  <c r="M416" i="17"/>
  <c r="E415" i="17"/>
  <c r="N412" i="17"/>
  <c r="D411" i="17"/>
  <c r="E411" i="17"/>
  <c r="M409" i="17"/>
  <c r="E408" i="17"/>
  <c r="O406" i="17"/>
  <c r="M402" i="17"/>
  <c r="E401" i="17"/>
  <c r="L399" i="17"/>
  <c r="D398" i="17"/>
  <c r="M395" i="17"/>
  <c r="E394" i="17"/>
  <c r="L392" i="17"/>
  <c r="D391" i="17"/>
  <c r="N389" i="17"/>
  <c r="P386" i="17"/>
  <c r="L385" i="17"/>
  <c r="D384" i="17"/>
  <c r="L382" i="17"/>
  <c r="M382" i="17"/>
  <c r="N382" i="17" s="1"/>
  <c r="P379" i="17"/>
  <c r="L378" i="17"/>
  <c r="D377" i="17"/>
  <c r="M375" i="17"/>
  <c r="O375" i="17"/>
  <c r="L371" i="17"/>
  <c r="O369" i="17"/>
  <c r="N369" i="17" s="1"/>
  <c r="O368" i="17"/>
  <c r="N368" i="17" s="1"/>
  <c r="P368" i="17"/>
  <c r="P366" i="17"/>
  <c r="O362" i="17"/>
  <c r="N362" i="17" s="1"/>
  <c r="P359" i="17"/>
  <c r="E358" i="17"/>
  <c r="O355" i="17"/>
  <c r="N355" i="17" s="1"/>
  <c r="M352" i="17"/>
  <c r="E351" i="17"/>
  <c r="O349" i="17"/>
  <c r="N349" i="17" s="1"/>
  <c r="O346" i="17"/>
  <c r="M343" i="17"/>
  <c r="M339" i="17"/>
  <c r="O337" i="17"/>
  <c r="M330" i="17"/>
  <c r="P328" i="17"/>
  <c r="L321" i="17"/>
  <c r="L319" i="17"/>
  <c r="D315" i="17"/>
  <c r="E315" i="17"/>
  <c r="O315" i="17"/>
  <c r="N315" i="17" s="1"/>
  <c r="P315" i="17"/>
  <c r="D312" i="17"/>
  <c r="O312" i="17"/>
  <c r="N312" i="17" s="1"/>
  <c r="E312" i="17"/>
  <c r="D310" i="17"/>
  <c r="M310" i="17"/>
  <c r="O310" i="17"/>
  <c r="O307" i="17"/>
  <c r="N307" i="17" s="1"/>
  <c r="D306" i="17"/>
  <c r="O306" i="17"/>
  <c r="N306" i="17" s="1"/>
  <c r="P306" i="17"/>
  <c r="D303" i="17"/>
  <c r="E303" i="17"/>
  <c r="D301" i="17"/>
  <c r="L301" i="17"/>
  <c r="O301" i="17"/>
  <c r="N301" i="17" s="1"/>
  <c r="O298" i="17"/>
  <c r="N298" i="17" s="1"/>
  <c r="D297" i="17"/>
  <c r="P297" i="17"/>
  <c r="O297" i="17"/>
  <c r="N297" i="17" s="1"/>
  <c r="N295" i="17"/>
  <c r="D294" i="17"/>
  <c r="M294" i="17"/>
  <c r="N294" i="17" s="1"/>
  <c r="E294" i="17"/>
  <c r="E288" i="17"/>
  <c r="M283" i="17"/>
  <c r="M280" i="17"/>
  <c r="P278" i="17"/>
  <c r="M274" i="17"/>
  <c r="M271" i="17"/>
  <c r="N271" i="17" s="1"/>
  <c r="P269" i="17"/>
  <c r="D350" i="17"/>
  <c r="M350" i="17"/>
  <c r="N350" i="17" s="1"/>
  <c r="D345" i="17"/>
  <c r="P345" i="17"/>
  <c r="D341" i="17"/>
  <c r="L341" i="17"/>
  <c r="D336" i="17"/>
  <c r="O336" i="17"/>
  <c r="N336" i="17" s="1"/>
  <c r="D331" i="17"/>
  <c r="E331" i="17"/>
  <c r="D318" i="17"/>
  <c r="M318" i="17"/>
  <c r="N318" i="17" s="1"/>
  <c r="D313" i="17"/>
  <c r="P313" i="17"/>
  <c r="D309" i="17"/>
  <c r="L309" i="17"/>
  <c r="D304" i="17"/>
  <c r="O304" i="17"/>
  <c r="N304" i="17" s="1"/>
  <c r="D299" i="17"/>
  <c r="E299" i="17"/>
  <c r="D286" i="17"/>
  <c r="M286" i="17"/>
  <c r="N286" i="17" s="1"/>
  <c r="D281" i="17"/>
  <c r="P281" i="17"/>
  <c r="D277" i="17"/>
  <c r="L277" i="17"/>
  <c r="D272" i="17"/>
  <c r="O272" i="17"/>
  <c r="N272" i="17" s="1"/>
  <c r="D267" i="17"/>
  <c r="E267" i="17"/>
  <c r="P266" i="17"/>
  <c r="M266" i="17"/>
  <c r="L266" i="17"/>
  <c r="E266" i="17"/>
  <c r="P15" i="17"/>
  <c r="M15" i="17"/>
  <c r="L15" i="17"/>
  <c r="E15" i="17"/>
  <c r="G13" i="16"/>
  <c r="K5" i="17"/>
  <c r="L5" i="17" s="1"/>
  <c r="K6" i="17"/>
  <c r="L6" i="17" s="1"/>
  <c r="K7" i="17"/>
  <c r="M7" i="17" s="1"/>
  <c r="K8" i="17"/>
  <c r="K9" i="17"/>
  <c r="L9" i="17" s="1"/>
  <c r="K10" i="17"/>
  <c r="L10" i="17" s="1"/>
  <c r="K11" i="17"/>
  <c r="M11" i="17" s="1"/>
  <c r="K12" i="17"/>
  <c r="K13" i="17"/>
  <c r="L13" i="17" s="1"/>
  <c r="K14" i="17"/>
  <c r="L14" i="17" s="1"/>
  <c r="K16" i="17"/>
  <c r="K17" i="17"/>
  <c r="L17" i="17" s="1"/>
  <c r="K18" i="17"/>
  <c r="L18" i="17" s="1"/>
  <c r="K19" i="17"/>
  <c r="K20" i="17"/>
  <c r="K21" i="17"/>
  <c r="L21" i="17" s="1"/>
  <c r="K22" i="17"/>
  <c r="L22" i="17" s="1"/>
  <c r="K23" i="17"/>
  <c r="K24" i="17"/>
  <c r="K25" i="17"/>
  <c r="L25" i="17" s="1"/>
  <c r="K26" i="17"/>
  <c r="L26" i="17" s="1"/>
  <c r="K27" i="17"/>
  <c r="K28" i="17"/>
  <c r="K29" i="17"/>
  <c r="L29" i="17" s="1"/>
  <c r="K30" i="17"/>
  <c r="L30" i="17" s="1"/>
  <c r="K31" i="17"/>
  <c r="M31" i="17" s="1"/>
  <c r="K32" i="17"/>
  <c r="K33" i="17"/>
  <c r="L33" i="17" s="1"/>
  <c r="K34" i="17"/>
  <c r="L34" i="17" s="1"/>
  <c r="K35" i="17"/>
  <c r="K36" i="17"/>
  <c r="K37" i="17"/>
  <c r="L37" i="17" s="1"/>
  <c r="K38" i="17"/>
  <c r="L38" i="17" s="1"/>
  <c r="K39" i="17"/>
  <c r="L39" i="17" s="1"/>
  <c r="K40" i="17"/>
  <c r="K41" i="17"/>
  <c r="L41" i="17" s="1"/>
  <c r="K42" i="17"/>
  <c r="L42" i="17" s="1"/>
  <c r="K43" i="17"/>
  <c r="K44" i="17"/>
  <c r="K45" i="17"/>
  <c r="L45" i="17" s="1"/>
  <c r="K46" i="17"/>
  <c r="L46" i="17" s="1"/>
  <c r="K47" i="17"/>
  <c r="K48" i="17"/>
  <c r="K49" i="17"/>
  <c r="L49" i="17" s="1"/>
  <c r="K50" i="17"/>
  <c r="L50" i="17" s="1"/>
  <c r="K51" i="17"/>
  <c r="O51" i="17" s="1"/>
  <c r="K52" i="17"/>
  <c r="O52" i="17" s="1"/>
  <c r="K53" i="17"/>
  <c r="L53" i="17" s="1"/>
  <c r="K54" i="17"/>
  <c r="L54" i="17" s="1"/>
  <c r="K55" i="17"/>
  <c r="O55" i="17" s="1"/>
  <c r="K56" i="17"/>
  <c r="O56" i="17" s="1"/>
  <c r="K57" i="17"/>
  <c r="L57" i="17" s="1"/>
  <c r="K58" i="17"/>
  <c r="L58" i="17" s="1"/>
  <c r="K59" i="17"/>
  <c r="O59" i="17" s="1"/>
  <c r="K60" i="17"/>
  <c r="O60" i="17" s="1"/>
  <c r="K61" i="17"/>
  <c r="L61" i="17" s="1"/>
  <c r="K62" i="17"/>
  <c r="L62" i="17" s="1"/>
  <c r="K63" i="17"/>
  <c r="L63" i="17" s="1"/>
  <c r="K64" i="17"/>
  <c r="O64" i="17" s="1"/>
  <c r="K65" i="17"/>
  <c r="L65" i="17" s="1"/>
  <c r="K66" i="17"/>
  <c r="L66" i="17" s="1"/>
  <c r="K67" i="17"/>
  <c r="O67" i="17" s="1"/>
  <c r="K68" i="17"/>
  <c r="O68" i="17" s="1"/>
  <c r="K69" i="17"/>
  <c r="L69" i="17" s="1"/>
  <c r="K70" i="17"/>
  <c r="L70" i="17" s="1"/>
  <c r="K71" i="17"/>
  <c r="O71" i="17" s="1"/>
  <c r="K72" i="17"/>
  <c r="O72" i="17" s="1"/>
  <c r="K73" i="17"/>
  <c r="L73" i="17" s="1"/>
  <c r="K74" i="17"/>
  <c r="L74" i="17" s="1"/>
  <c r="K75" i="17"/>
  <c r="M75" i="17" s="1"/>
  <c r="K76" i="17"/>
  <c r="K77" i="17"/>
  <c r="O77" i="17" s="1"/>
  <c r="K78" i="17"/>
  <c r="L78" i="17" s="1"/>
  <c r="K79" i="17"/>
  <c r="O79" i="17" s="1"/>
  <c r="M79" i="17"/>
  <c r="K80" i="17"/>
  <c r="M80" i="17" s="1"/>
  <c r="K81" i="17"/>
  <c r="O81" i="17" s="1"/>
  <c r="K82" i="17"/>
  <c r="L82" i="17" s="1"/>
  <c r="O82" i="17"/>
  <c r="K83" i="17"/>
  <c r="M83" i="17" s="1"/>
  <c r="K84" i="17"/>
  <c r="L84" i="17" s="1"/>
  <c r="K85" i="17"/>
  <c r="L85" i="17" s="1"/>
  <c r="K86" i="17"/>
  <c r="M86" i="17" s="1"/>
  <c r="K87" i="17"/>
  <c r="O87" i="17" s="1"/>
  <c r="K88" i="17"/>
  <c r="O88" i="17" s="1"/>
  <c r="K89" i="17"/>
  <c r="O89" i="17" s="1"/>
  <c r="K90" i="17"/>
  <c r="O90" i="17" s="1"/>
  <c r="K91" i="17"/>
  <c r="M91" i="17" s="1"/>
  <c r="O91" i="17"/>
  <c r="K92" i="17"/>
  <c r="L92" i="17" s="1"/>
  <c r="K93" i="17"/>
  <c r="M93" i="17" s="1"/>
  <c r="K94" i="17"/>
  <c r="L94" i="17" s="1"/>
  <c r="K95" i="17"/>
  <c r="L95" i="17" s="1"/>
  <c r="K96" i="17"/>
  <c r="L96" i="17" s="1"/>
  <c r="K97" i="17"/>
  <c r="M97" i="17" s="1"/>
  <c r="K98" i="17"/>
  <c r="L98" i="17" s="1"/>
  <c r="K99" i="17"/>
  <c r="O99" i="17" s="1"/>
  <c r="K100" i="17"/>
  <c r="L100" i="17" s="1"/>
  <c r="K101" i="17"/>
  <c r="K102" i="17"/>
  <c r="M102" i="17"/>
  <c r="K103" i="17"/>
  <c r="L103" i="17"/>
  <c r="M103" i="17"/>
  <c r="O103" i="17"/>
  <c r="K104" i="17"/>
  <c r="K105" i="17"/>
  <c r="O105" i="17" s="1"/>
  <c r="K106" i="17"/>
  <c r="K107" i="17"/>
  <c r="O107" i="17" s="1"/>
  <c r="K108" i="17"/>
  <c r="L108" i="17" s="1"/>
  <c r="K109" i="17"/>
  <c r="M109" i="17" s="1"/>
  <c r="K110" i="17"/>
  <c r="L110" i="17" s="1"/>
  <c r="K111" i="17"/>
  <c r="O111" i="17" s="1"/>
  <c r="M111" i="17"/>
  <c r="K112" i="17"/>
  <c r="O112" i="17" s="1"/>
  <c r="M112" i="17"/>
  <c r="K113" i="17"/>
  <c r="M113" i="17" s="1"/>
  <c r="K114" i="17"/>
  <c r="L114" i="17" s="1"/>
  <c r="M114" i="17"/>
  <c r="K115" i="17"/>
  <c r="L115" i="17" s="1"/>
  <c r="K116" i="17"/>
  <c r="L116" i="17" s="1"/>
  <c r="K117" i="17"/>
  <c r="L117" i="17" s="1"/>
  <c r="K118" i="17"/>
  <c r="M118" i="17" s="1"/>
  <c r="K119" i="17"/>
  <c r="K120" i="17"/>
  <c r="L120" i="17" s="1"/>
  <c r="K121" i="17"/>
  <c r="M121" i="17" s="1"/>
  <c r="L121" i="17"/>
  <c r="K122" i="17"/>
  <c r="M122" i="17" s="1"/>
  <c r="K123" i="17"/>
  <c r="O123" i="17"/>
  <c r="K124" i="17"/>
  <c r="L124" i="17" s="1"/>
  <c r="M124" i="17"/>
  <c r="K125" i="17"/>
  <c r="O125" i="17" s="1"/>
  <c r="K126" i="17"/>
  <c r="M126" i="17" s="1"/>
  <c r="K127" i="17"/>
  <c r="K128" i="17"/>
  <c r="L128" i="17" s="1"/>
  <c r="O128" i="17"/>
  <c r="K129" i="17"/>
  <c r="L129" i="17"/>
  <c r="M129" i="17"/>
  <c r="O129" i="17"/>
  <c r="K130" i="17"/>
  <c r="M130" i="17" s="1"/>
  <c r="K131" i="17"/>
  <c r="O131" i="17"/>
  <c r="K132" i="17"/>
  <c r="L132" i="17" s="1"/>
  <c r="M132" i="17"/>
  <c r="O132" i="17"/>
  <c r="K133" i="17"/>
  <c r="L133" i="17" s="1"/>
  <c r="K134" i="17"/>
  <c r="M134" i="17" s="1"/>
  <c r="K135" i="17"/>
  <c r="K136" i="17"/>
  <c r="L136" i="17" s="1"/>
  <c r="K137" i="17"/>
  <c r="M137" i="17" s="1"/>
  <c r="K138" i="17"/>
  <c r="M138" i="17" s="1"/>
  <c r="L138" i="17"/>
  <c r="K139" i="17"/>
  <c r="O139" i="17" s="1"/>
  <c r="K140" i="17"/>
  <c r="L140" i="17" s="1"/>
  <c r="K141" i="17"/>
  <c r="O141" i="17" s="1"/>
  <c r="L141" i="17"/>
  <c r="K142" i="17"/>
  <c r="M142" i="17" s="1"/>
  <c r="K143" i="17"/>
  <c r="K144" i="17"/>
  <c r="L144" i="17" s="1"/>
  <c r="K145" i="17"/>
  <c r="O145" i="17" s="1"/>
  <c r="M145" i="17"/>
  <c r="K146" i="17"/>
  <c r="M146" i="17" s="1"/>
  <c r="K147" i="17"/>
  <c r="O147" i="17" s="1"/>
  <c r="K148" i="17"/>
  <c r="L148" i="17" s="1"/>
  <c r="M148" i="17"/>
  <c r="K149" i="17"/>
  <c r="L149" i="17" s="1"/>
  <c r="K150" i="17"/>
  <c r="M150" i="17" s="1"/>
  <c r="K151" i="17"/>
  <c r="K152" i="17"/>
  <c r="L152" i="17" s="1"/>
  <c r="K153" i="17"/>
  <c r="M153" i="17" s="1"/>
  <c r="L153" i="17"/>
  <c r="K154" i="17"/>
  <c r="M154" i="17" s="1"/>
  <c r="K155" i="17"/>
  <c r="O155" i="17" s="1"/>
  <c r="K156" i="17"/>
  <c r="L156" i="17" s="1"/>
  <c r="M156" i="17"/>
  <c r="K157" i="17"/>
  <c r="O157" i="17" s="1"/>
  <c r="L157" i="17"/>
  <c r="M157" i="17"/>
  <c r="K158" i="17"/>
  <c r="M158" i="17" s="1"/>
  <c r="K159" i="17"/>
  <c r="K160" i="17"/>
  <c r="L160" i="17" s="1"/>
  <c r="K161" i="17"/>
  <c r="O161" i="17" s="1"/>
  <c r="L161" i="17"/>
  <c r="K162" i="17"/>
  <c r="M162" i="17" s="1"/>
  <c r="L162" i="17"/>
  <c r="K163" i="17"/>
  <c r="O163" i="17" s="1"/>
  <c r="K164" i="17"/>
  <c r="L164" i="17" s="1"/>
  <c r="K165" i="17"/>
  <c r="L165" i="17" s="1"/>
  <c r="K166" i="17"/>
  <c r="M166" i="17" s="1"/>
  <c r="K167" i="17"/>
  <c r="K168" i="17"/>
  <c r="L168" i="17" s="1"/>
  <c r="M168" i="17"/>
  <c r="K169" i="17"/>
  <c r="O169" i="17" s="1"/>
  <c r="L169" i="17"/>
  <c r="K170" i="17"/>
  <c r="M170" i="17" s="1"/>
  <c r="K171" i="17"/>
  <c r="O171" i="17" s="1"/>
  <c r="K172" i="17"/>
  <c r="L172" i="17" s="1"/>
  <c r="K173" i="17"/>
  <c r="O173" i="17" s="1"/>
  <c r="K174" i="17"/>
  <c r="M174" i="17" s="1"/>
  <c r="K175" i="17"/>
  <c r="K176" i="17"/>
  <c r="L176" i="17" s="1"/>
  <c r="K177" i="17"/>
  <c r="M177" i="17" s="1"/>
  <c r="K178" i="17"/>
  <c r="M178" i="17" s="1"/>
  <c r="K179" i="17"/>
  <c r="M179" i="17" s="1"/>
  <c r="K180" i="17"/>
  <c r="L180" i="17" s="1"/>
  <c r="K181" i="17"/>
  <c r="M181" i="17" s="1"/>
  <c r="K182" i="17"/>
  <c r="M182" i="17" s="1"/>
  <c r="K183" i="17"/>
  <c r="M183" i="17" s="1"/>
  <c r="K184" i="17"/>
  <c r="L184" i="17" s="1"/>
  <c r="M184" i="17"/>
  <c r="K185" i="17"/>
  <c r="O185" i="17" s="1"/>
  <c r="K186" i="17"/>
  <c r="K187" i="17"/>
  <c r="K188" i="17"/>
  <c r="K189" i="17"/>
  <c r="L189" i="17" s="1"/>
  <c r="K190" i="17"/>
  <c r="L190" i="17" s="1"/>
  <c r="K191" i="17"/>
  <c r="M191" i="17" s="1"/>
  <c r="O191" i="17"/>
  <c r="K192" i="17"/>
  <c r="L192" i="17" s="1"/>
  <c r="K193" i="17"/>
  <c r="M193" i="17" s="1"/>
  <c r="L193" i="17"/>
  <c r="K194" i="17"/>
  <c r="M194" i="17" s="1"/>
  <c r="L194" i="17"/>
  <c r="K195" i="17"/>
  <c r="M195" i="17" s="1"/>
  <c r="L195" i="17"/>
  <c r="K196" i="17"/>
  <c r="L196" i="17" s="1"/>
  <c r="K197" i="17"/>
  <c r="O197" i="17" s="1"/>
  <c r="L197" i="17"/>
  <c r="K198" i="17"/>
  <c r="M198" i="17" s="1"/>
  <c r="K199" i="17"/>
  <c r="M199" i="17" s="1"/>
  <c r="K200" i="17"/>
  <c r="L200" i="17" s="1"/>
  <c r="M200" i="17"/>
  <c r="K201" i="17"/>
  <c r="M201" i="17" s="1"/>
  <c r="K202" i="17"/>
  <c r="O202" i="17" s="1"/>
  <c r="K203" i="17"/>
  <c r="K204" i="17"/>
  <c r="O204" i="17" s="1"/>
  <c r="K205" i="17"/>
  <c r="L205" i="17" s="1"/>
  <c r="M205" i="17"/>
  <c r="O205" i="17"/>
  <c r="K206" i="17"/>
  <c r="L206" i="17" s="1"/>
  <c r="M206" i="17"/>
  <c r="O206" i="17"/>
  <c r="K207" i="17"/>
  <c r="M207" i="17" s="1"/>
  <c r="K208" i="17"/>
  <c r="L208" i="17" s="1"/>
  <c r="K209" i="17"/>
  <c r="L209" i="17" s="1"/>
  <c r="M209" i="17"/>
  <c r="K210" i="17"/>
  <c r="L210" i="17" s="1"/>
  <c r="O210" i="17"/>
  <c r="K211" i="17"/>
  <c r="M211" i="17" s="1"/>
  <c r="K212" i="17"/>
  <c r="L212" i="17" s="1"/>
  <c r="K213" i="17"/>
  <c r="M213" i="17" s="1"/>
  <c r="K214" i="17"/>
  <c r="L214" i="17" s="1"/>
  <c r="K215" i="17"/>
  <c r="L215" i="17" s="1"/>
  <c r="K216" i="17"/>
  <c r="M216" i="17"/>
  <c r="K217" i="17"/>
  <c r="L217" i="17" s="1"/>
  <c r="K218" i="17"/>
  <c r="O218" i="17" s="1"/>
  <c r="K219" i="17"/>
  <c r="O219" i="17"/>
  <c r="K220" i="17"/>
  <c r="O220" i="17" s="1"/>
  <c r="K221" i="17"/>
  <c r="M221" i="17" s="1"/>
  <c r="L221" i="17"/>
  <c r="K222" i="17"/>
  <c r="L222" i="17" s="1"/>
  <c r="K223" i="17"/>
  <c r="L223" i="17" s="1"/>
  <c r="M223" i="17"/>
  <c r="K224" i="17"/>
  <c r="M224" i="17" s="1"/>
  <c r="K225" i="17"/>
  <c r="O225" i="17"/>
  <c r="K226" i="17"/>
  <c r="L226" i="17" s="1"/>
  <c r="O226" i="17"/>
  <c r="K227" i="17"/>
  <c r="L227" i="17" s="1"/>
  <c r="K228" i="17"/>
  <c r="M228" i="17" s="1"/>
  <c r="K229" i="17"/>
  <c r="O229" i="17" s="1"/>
  <c r="K230" i="17"/>
  <c r="L230" i="17" s="1"/>
  <c r="M230" i="17"/>
  <c r="K231" i="17"/>
  <c r="O231" i="17" s="1"/>
  <c r="K232" i="17"/>
  <c r="M232" i="17" s="1"/>
  <c r="K233" i="17"/>
  <c r="O233" i="17"/>
  <c r="K234" i="17"/>
  <c r="L234" i="17" s="1"/>
  <c r="O234" i="17"/>
  <c r="K235" i="17"/>
  <c r="L235" i="17" s="1"/>
  <c r="K236" i="17"/>
  <c r="M236" i="17" s="1"/>
  <c r="K237" i="17"/>
  <c r="O237" i="17" s="1"/>
  <c r="K238" i="17"/>
  <c r="L238" i="17" s="1"/>
  <c r="K239" i="17"/>
  <c r="O239" i="17" s="1"/>
  <c r="L239" i="17"/>
  <c r="K240" i="17"/>
  <c r="M240" i="17" s="1"/>
  <c r="K241" i="17"/>
  <c r="O241" i="17" s="1"/>
  <c r="K242" i="17"/>
  <c r="L242" i="17" s="1"/>
  <c r="K243" i="17"/>
  <c r="L243" i="17" s="1"/>
  <c r="K244" i="17"/>
  <c r="M244" i="17" s="1"/>
  <c r="K245" i="17"/>
  <c r="O245" i="17" s="1"/>
  <c r="K246" i="17"/>
  <c r="L246" i="17" s="1"/>
  <c r="K247" i="17"/>
  <c r="O247" i="17" s="1"/>
  <c r="K248" i="17"/>
  <c r="M248" i="17" s="1"/>
  <c r="K249" i="17"/>
  <c r="O249" i="17" s="1"/>
  <c r="K250" i="17"/>
  <c r="L250" i="17" s="1"/>
  <c r="O250" i="17"/>
  <c r="K251" i="17"/>
  <c r="L251" i="17" s="1"/>
  <c r="K252" i="17"/>
  <c r="M252" i="17" s="1"/>
  <c r="K253" i="17"/>
  <c r="O253" i="17" s="1"/>
  <c r="K254" i="17"/>
  <c r="L254" i="17" s="1"/>
  <c r="K255" i="17"/>
  <c r="O255" i="17" s="1"/>
  <c r="K256" i="17"/>
  <c r="M256" i="17" s="1"/>
  <c r="K257" i="17"/>
  <c r="M257" i="17" s="1"/>
  <c r="K258" i="17"/>
  <c r="L258" i="17" s="1"/>
  <c r="K259" i="17"/>
  <c r="M259" i="17" s="1"/>
  <c r="K260" i="17"/>
  <c r="L260" i="17" s="1"/>
  <c r="K261" i="17"/>
  <c r="M261" i="17" s="1"/>
  <c r="K262" i="17"/>
  <c r="L262" i="17" s="1"/>
  <c r="K263" i="17"/>
  <c r="L263" i="17" s="1"/>
  <c r="K264" i="17"/>
  <c r="M264" i="17" s="1"/>
  <c r="K265" i="17"/>
  <c r="M265" i="17" s="1"/>
  <c r="L5" i="18"/>
  <c r="M5" i="18"/>
  <c r="L6" i="18"/>
  <c r="M6" i="18"/>
  <c r="L7" i="18"/>
  <c r="M7" i="18"/>
  <c r="L8" i="18"/>
  <c r="M8" i="18"/>
  <c r="L9" i="18"/>
  <c r="M9" i="18"/>
  <c r="L10" i="18"/>
  <c r="M10" i="18"/>
  <c r="L11" i="18"/>
  <c r="M11" i="18"/>
  <c r="L12" i="18"/>
  <c r="M12" i="18"/>
  <c r="L13" i="18"/>
  <c r="M13" i="18"/>
  <c r="L14" i="18"/>
  <c r="M14" i="18"/>
  <c r="L15" i="18"/>
  <c r="M15" i="18"/>
  <c r="L16" i="18"/>
  <c r="M16" i="18"/>
  <c r="L17" i="18"/>
  <c r="M17" i="18"/>
  <c r="L18" i="18"/>
  <c r="M18" i="18"/>
  <c r="L19" i="18"/>
  <c r="M19" i="18"/>
  <c r="L20" i="18"/>
  <c r="M20" i="18"/>
  <c r="L21" i="18"/>
  <c r="M21" i="18"/>
  <c r="L22" i="18"/>
  <c r="M22" i="18"/>
  <c r="L23" i="18"/>
  <c r="M23" i="18"/>
  <c r="L24" i="18"/>
  <c r="M24" i="18"/>
  <c r="L25" i="18"/>
  <c r="M25" i="18"/>
  <c r="L26" i="18"/>
  <c r="M26" i="18"/>
  <c r="L27" i="18"/>
  <c r="M27" i="18"/>
  <c r="L28" i="18"/>
  <c r="M28" i="18"/>
  <c r="L29" i="18"/>
  <c r="M29" i="18"/>
  <c r="L30" i="18"/>
  <c r="M30" i="18"/>
  <c r="L31" i="18"/>
  <c r="M31" i="18"/>
  <c r="L32" i="18"/>
  <c r="M32" i="18"/>
  <c r="O32" i="18"/>
  <c r="L33" i="18"/>
  <c r="M33" i="18"/>
  <c r="O33" i="18"/>
  <c r="L34" i="18"/>
  <c r="M34" i="18"/>
  <c r="O34" i="18"/>
  <c r="L35" i="18"/>
  <c r="M35" i="18"/>
  <c r="O35" i="18"/>
  <c r="L36" i="18"/>
  <c r="M36" i="18"/>
  <c r="O36" i="18"/>
  <c r="L37" i="18"/>
  <c r="M37" i="18"/>
  <c r="O37" i="18"/>
  <c r="L38" i="18"/>
  <c r="M38" i="18"/>
  <c r="O38" i="18"/>
  <c r="L39" i="18"/>
  <c r="M39" i="18"/>
  <c r="O39" i="18"/>
  <c r="L40" i="18"/>
  <c r="M40" i="18"/>
  <c r="O40" i="18"/>
  <c r="L41" i="18"/>
  <c r="M41" i="18"/>
  <c r="O41" i="18"/>
  <c r="L42" i="18"/>
  <c r="M42" i="18"/>
  <c r="O42" i="18"/>
  <c r="L43" i="18"/>
  <c r="M43" i="18"/>
  <c r="O43" i="18"/>
  <c r="L44" i="18"/>
  <c r="M44" i="18"/>
  <c r="O44" i="18"/>
  <c r="L45" i="18"/>
  <c r="M45" i="18"/>
  <c r="O45" i="18"/>
  <c r="L46" i="18"/>
  <c r="M46" i="18"/>
  <c r="O46" i="18"/>
  <c r="L47" i="18"/>
  <c r="M47" i="18"/>
  <c r="O47" i="18"/>
  <c r="L48" i="18"/>
  <c r="M48" i="18"/>
  <c r="O48" i="18"/>
  <c r="L49" i="18"/>
  <c r="M49" i="18"/>
  <c r="O49" i="18"/>
  <c r="L50" i="18"/>
  <c r="M50" i="18"/>
  <c r="O50" i="18"/>
  <c r="L51" i="18"/>
  <c r="M51" i="18"/>
  <c r="O51" i="18"/>
  <c r="L52" i="18"/>
  <c r="M52" i="18"/>
  <c r="O52" i="18"/>
  <c r="L53" i="18"/>
  <c r="M53" i="18"/>
  <c r="O53" i="18"/>
  <c r="L54" i="18"/>
  <c r="M54" i="18"/>
  <c r="O54" i="18"/>
  <c r="L55" i="18"/>
  <c r="M55" i="18"/>
  <c r="O55" i="18"/>
  <c r="L56" i="18"/>
  <c r="M56" i="18"/>
  <c r="O56" i="18"/>
  <c r="L57" i="18"/>
  <c r="M57" i="18"/>
  <c r="O57" i="18"/>
  <c r="L58" i="18"/>
  <c r="M58" i="18"/>
  <c r="O58" i="18"/>
  <c r="L59" i="18"/>
  <c r="M59" i="18"/>
  <c r="O59" i="18"/>
  <c r="L60" i="18"/>
  <c r="M60" i="18"/>
  <c r="O60" i="18"/>
  <c r="L61" i="18"/>
  <c r="M61" i="18"/>
  <c r="O61" i="18"/>
  <c r="L62" i="18"/>
  <c r="M62" i="18"/>
  <c r="O62" i="18"/>
  <c r="L63" i="18"/>
  <c r="M63" i="18"/>
  <c r="O63" i="18"/>
  <c r="L64" i="18"/>
  <c r="M64" i="18"/>
  <c r="O64" i="18"/>
  <c r="L65" i="18"/>
  <c r="M65" i="18"/>
  <c r="O65" i="18"/>
  <c r="L66" i="18"/>
  <c r="M66" i="18"/>
  <c r="O66" i="18"/>
  <c r="L67" i="18"/>
  <c r="M67" i="18"/>
  <c r="O67" i="18"/>
  <c r="L68" i="18"/>
  <c r="M68" i="18"/>
  <c r="O68" i="18"/>
  <c r="L69" i="18"/>
  <c r="M69" i="18"/>
  <c r="O69" i="18"/>
  <c r="L70" i="18"/>
  <c r="M70" i="18"/>
  <c r="O70" i="18"/>
  <c r="L71" i="18"/>
  <c r="M71" i="18"/>
  <c r="O71" i="18"/>
  <c r="L72" i="18"/>
  <c r="M72" i="18"/>
  <c r="O72" i="18"/>
  <c r="L73" i="18"/>
  <c r="M73" i="18"/>
  <c r="O73" i="18"/>
  <c r="L74" i="18"/>
  <c r="M74" i="18"/>
  <c r="O74" i="18"/>
  <c r="L75" i="18"/>
  <c r="M75" i="18"/>
  <c r="O75" i="18"/>
  <c r="L76" i="18"/>
  <c r="M76" i="18"/>
  <c r="O76" i="18"/>
  <c r="L77" i="18"/>
  <c r="M77" i="18"/>
  <c r="O77" i="18"/>
  <c r="L78" i="18"/>
  <c r="M78" i="18"/>
  <c r="O78" i="18"/>
  <c r="L79" i="18"/>
  <c r="M79" i="18"/>
  <c r="O79" i="18"/>
  <c r="L80" i="18"/>
  <c r="M80" i="18"/>
  <c r="O80" i="18"/>
  <c r="L81" i="18"/>
  <c r="M81" i="18"/>
  <c r="O81" i="18"/>
  <c r="L82" i="18"/>
  <c r="M82" i="18"/>
  <c r="O82" i="18"/>
  <c r="L83" i="18"/>
  <c r="M83" i="18"/>
  <c r="O83" i="18"/>
  <c r="L84" i="18"/>
  <c r="M84" i="18"/>
  <c r="O84" i="18"/>
  <c r="L85" i="18"/>
  <c r="M85" i="18"/>
  <c r="O85" i="18"/>
  <c r="L86" i="18"/>
  <c r="M86" i="18"/>
  <c r="O86" i="18"/>
  <c r="L87" i="18"/>
  <c r="M87" i="18"/>
  <c r="O87" i="18"/>
  <c r="L88" i="18"/>
  <c r="M88" i="18"/>
  <c r="O88" i="18"/>
  <c r="L89" i="18"/>
  <c r="M89" i="18"/>
  <c r="O89" i="18"/>
  <c r="L90" i="18"/>
  <c r="M90" i="18"/>
  <c r="O90" i="18"/>
  <c r="L91" i="18"/>
  <c r="M91" i="18"/>
  <c r="O91" i="18"/>
  <c r="L92" i="18"/>
  <c r="M92" i="18"/>
  <c r="O92" i="18"/>
  <c r="L93" i="18"/>
  <c r="M93" i="18"/>
  <c r="O93" i="18"/>
  <c r="L94" i="18"/>
  <c r="M94" i="18"/>
  <c r="O94" i="18"/>
  <c r="L95" i="18"/>
  <c r="M95" i="18"/>
  <c r="O95" i="18"/>
  <c r="L96" i="18"/>
  <c r="M96" i="18"/>
  <c r="O96" i="18"/>
  <c r="L97" i="18"/>
  <c r="M97" i="18"/>
  <c r="O97" i="18"/>
  <c r="L98" i="18"/>
  <c r="M98" i="18"/>
  <c r="O98" i="18"/>
  <c r="L99" i="18"/>
  <c r="M99" i="18"/>
  <c r="O99" i="18"/>
  <c r="L100" i="18"/>
  <c r="M100" i="18"/>
  <c r="O100" i="18"/>
  <c r="L101" i="18"/>
  <c r="M101" i="18"/>
  <c r="O101" i="18"/>
  <c r="L102" i="18"/>
  <c r="M102" i="18"/>
  <c r="O102" i="18"/>
  <c r="L103" i="18"/>
  <c r="M103" i="18"/>
  <c r="O103" i="18"/>
  <c r="L104" i="18"/>
  <c r="M104" i="18"/>
  <c r="O104" i="18"/>
  <c r="L105" i="18"/>
  <c r="M105" i="18"/>
  <c r="O105" i="18"/>
  <c r="L106" i="18"/>
  <c r="M106" i="18"/>
  <c r="O106" i="18"/>
  <c r="L107" i="18"/>
  <c r="M107" i="18"/>
  <c r="O107" i="18"/>
  <c r="L108" i="18"/>
  <c r="M108" i="18"/>
  <c r="O108" i="18"/>
  <c r="L109" i="18"/>
  <c r="M109" i="18"/>
  <c r="O109" i="18"/>
  <c r="L110" i="18"/>
  <c r="M110" i="18"/>
  <c r="O110" i="18"/>
  <c r="L111" i="18"/>
  <c r="M111" i="18"/>
  <c r="O111" i="18"/>
  <c r="L112" i="18"/>
  <c r="M112" i="18"/>
  <c r="O112" i="18"/>
  <c r="L113" i="18"/>
  <c r="M113" i="18"/>
  <c r="O113" i="18"/>
  <c r="L114" i="18"/>
  <c r="M114" i="18"/>
  <c r="O114" i="18"/>
  <c r="L115" i="18"/>
  <c r="M115" i="18"/>
  <c r="O115" i="18"/>
  <c r="L116" i="18"/>
  <c r="M116" i="18"/>
  <c r="O116" i="18"/>
  <c r="L117" i="18"/>
  <c r="M117" i="18"/>
  <c r="O117" i="18"/>
  <c r="L118" i="18"/>
  <c r="M118" i="18"/>
  <c r="O118" i="18"/>
  <c r="L119" i="18"/>
  <c r="M119" i="18"/>
  <c r="O119" i="18"/>
  <c r="L120" i="18"/>
  <c r="M120" i="18"/>
  <c r="O120" i="18"/>
  <c r="L121" i="18"/>
  <c r="M121" i="18"/>
  <c r="O121" i="18"/>
  <c r="L122" i="18"/>
  <c r="M122" i="18"/>
  <c r="O122" i="18"/>
  <c r="L123" i="18"/>
  <c r="M123" i="18"/>
  <c r="O123" i="18"/>
  <c r="L124" i="18"/>
  <c r="M124" i="18"/>
  <c r="O124" i="18"/>
  <c r="L125" i="18"/>
  <c r="M125" i="18"/>
  <c r="O125" i="18"/>
  <c r="L126" i="18"/>
  <c r="M126" i="18"/>
  <c r="O126" i="18"/>
  <c r="L127" i="18"/>
  <c r="M127" i="18"/>
  <c r="O127" i="18"/>
  <c r="L128" i="18"/>
  <c r="M128" i="18"/>
  <c r="O128" i="18"/>
  <c r="L129" i="18"/>
  <c r="M129" i="18"/>
  <c r="O129" i="18"/>
  <c r="L130" i="18"/>
  <c r="M130" i="18"/>
  <c r="O130" i="18"/>
  <c r="L131" i="18"/>
  <c r="M131" i="18"/>
  <c r="O131" i="18"/>
  <c r="L132" i="18"/>
  <c r="M132" i="18"/>
  <c r="O132" i="18"/>
  <c r="L133" i="18"/>
  <c r="M133" i="18"/>
  <c r="O133" i="18"/>
  <c r="L134" i="18"/>
  <c r="M134" i="18"/>
  <c r="O134" i="18"/>
  <c r="L135" i="18"/>
  <c r="M135" i="18"/>
  <c r="O135" i="18"/>
  <c r="L136" i="18"/>
  <c r="M136" i="18"/>
  <c r="O136" i="18"/>
  <c r="L137" i="18"/>
  <c r="M137" i="18"/>
  <c r="O137" i="18"/>
  <c r="L138" i="18"/>
  <c r="M138" i="18"/>
  <c r="O138" i="18"/>
  <c r="L139" i="18"/>
  <c r="M139" i="18"/>
  <c r="O139" i="18"/>
  <c r="L140" i="18"/>
  <c r="M140" i="18"/>
  <c r="O140" i="18"/>
  <c r="L141" i="18"/>
  <c r="M141" i="18"/>
  <c r="O141" i="18"/>
  <c r="L142" i="18"/>
  <c r="M142" i="18"/>
  <c r="O142" i="18"/>
  <c r="L143" i="18"/>
  <c r="M143" i="18"/>
  <c r="O143" i="18"/>
  <c r="L144" i="18"/>
  <c r="M144" i="18"/>
  <c r="O144" i="18"/>
  <c r="L145" i="18"/>
  <c r="M145" i="18"/>
  <c r="O145" i="18"/>
  <c r="L146" i="18"/>
  <c r="M146" i="18"/>
  <c r="O146" i="18"/>
  <c r="L147" i="18"/>
  <c r="M147" i="18"/>
  <c r="O147" i="18"/>
  <c r="L148" i="18"/>
  <c r="M148" i="18"/>
  <c r="O148" i="18"/>
  <c r="L149" i="18"/>
  <c r="M149" i="18"/>
  <c r="O149" i="18"/>
  <c r="L150" i="18"/>
  <c r="M150" i="18"/>
  <c r="O150" i="18"/>
  <c r="L151" i="18"/>
  <c r="M151" i="18"/>
  <c r="O151" i="18"/>
  <c r="L152" i="18"/>
  <c r="M152" i="18"/>
  <c r="O152" i="18"/>
  <c r="L153" i="18"/>
  <c r="M153" i="18"/>
  <c r="O153" i="18"/>
  <c r="L154" i="18"/>
  <c r="M154" i="18"/>
  <c r="O154" i="18"/>
  <c r="L155" i="18"/>
  <c r="M155" i="18"/>
  <c r="O155" i="18"/>
  <c r="L156" i="18"/>
  <c r="M156" i="18"/>
  <c r="O156" i="18"/>
  <c r="L157" i="18"/>
  <c r="M157" i="18"/>
  <c r="O157" i="18"/>
  <c r="L158" i="18"/>
  <c r="M158" i="18"/>
  <c r="O158" i="18"/>
  <c r="L159" i="18"/>
  <c r="M159" i="18"/>
  <c r="O159" i="18"/>
  <c r="L160" i="18"/>
  <c r="M160" i="18"/>
  <c r="O160" i="18"/>
  <c r="L161" i="18"/>
  <c r="M161" i="18"/>
  <c r="O161" i="18"/>
  <c r="L162" i="18"/>
  <c r="M162" i="18"/>
  <c r="O162" i="18"/>
  <c r="L163" i="18"/>
  <c r="M163" i="18"/>
  <c r="O163" i="18"/>
  <c r="L164" i="18"/>
  <c r="M164" i="18"/>
  <c r="O164" i="18"/>
  <c r="L165" i="18"/>
  <c r="M165" i="18"/>
  <c r="O165" i="18"/>
  <c r="L166" i="18"/>
  <c r="M166" i="18"/>
  <c r="O166" i="18"/>
  <c r="L167" i="18"/>
  <c r="M167" i="18"/>
  <c r="O167" i="18"/>
  <c r="L168" i="18"/>
  <c r="M168" i="18"/>
  <c r="O168" i="18"/>
  <c r="L169" i="18"/>
  <c r="M169" i="18"/>
  <c r="O169" i="18"/>
  <c r="L170" i="18"/>
  <c r="M170" i="18"/>
  <c r="O170" i="18"/>
  <c r="L171" i="18"/>
  <c r="M171" i="18"/>
  <c r="O171" i="18"/>
  <c r="L172" i="18"/>
  <c r="M172" i="18"/>
  <c r="O172" i="18"/>
  <c r="L173" i="18"/>
  <c r="M173" i="18"/>
  <c r="O173" i="18"/>
  <c r="L174" i="18"/>
  <c r="M174" i="18"/>
  <c r="O174" i="18"/>
  <c r="L175" i="18"/>
  <c r="M175" i="18"/>
  <c r="O175" i="18"/>
  <c r="L176" i="18"/>
  <c r="M176" i="18"/>
  <c r="O176" i="18"/>
  <c r="L177" i="18"/>
  <c r="M177" i="18"/>
  <c r="O177" i="18"/>
  <c r="L178" i="18"/>
  <c r="M178" i="18"/>
  <c r="O178" i="18"/>
  <c r="L179" i="18"/>
  <c r="M179" i="18"/>
  <c r="O179" i="18"/>
  <c r="L180" i="18"/>
  <c r="M180" i="18"/>
  <c r="O180" i="18"/>
  <c r="L181" i="18"/>
  <c r="M181" i="18"/>
  <c r="O181" i="18"/>
  <c r="L182" i="18"/>
  <c r="M182" i="18"/>
  <c r="O182" i="18"/>
  <c r="L183" i="18"/>
  <c r="M183" i="18"/>
  <c r="O183" i="18"/>
  <c r="L184" i="18"/>
  <c r="M184" i="18"/>
  <c r="O184" i="18"/>
  <c r="L185" i="18"/>
  <c r="M185" i="18"/>
  <c r="O185" i="18"/>
  <c r="L186" i="18"/>
  <c r="M186" i="18"/>
  <c r="O186" i="18"/>
  <c r="L187" i="18"/>
  <c r="M187" i="18"/>
  <c r="O187" i="18"/>
  <c r="L188" i="18"/>
  <c r="M188" i="18"/>
  <c r="O188" i="18"/>
  <c r="L189" i="18"/>
  <c r="M189" i="18"/>
  <c r="O189" i="18"/>
  <c r="L190" i="18"/>
  <c r="M190" i="18"/>
  <c r="O190" i="18"/>
  <c r="L191" i="18"/>
  <c r="M191" i="18"/>
  <c r="O191" i="18"/>
  <c r="L192" i="18"/>
  <c r="M192" i="18"/>
  <c r="O192" i="18"/>
  <c r="L193" i="18"/>
  <c r="M193" i="18"/>
  <c r="O193" i="18"/>
  <c r="L194" i="18"/>
  <c r="M194" i="18"/>
  <c r="O194" i="18"/>
  <c r="L195" i="18"/>
  <c r="M195" i="18"/>
  <c r="O195" i="18"/>
  <c r="L196" i="18"/>
  <c r="M196" i="18"/>
  <c r="O196" i="18"/>
  <c r="L197" i="18"/>
  <c r="M197" i="18"/>
  <c r="O197" i="18"/>
  <c r="L198" i="18"/>
  <c r="M198" i="18"/>
  <c r="O198" i="18"/>
  <c r="L199" i="18"/>
  <c r="M199" i="18"/>
  <c r="O199" i="18"/>
  <c r="L200" i="18"/>
  <c r="M200" i="18"/>
  <c r="O200" i="18"/>
  <c r="L201" i="18"/>
  <c r="M201" i="18"/>
  <c r="O201" i="18"/>
  <c r="L202" i="18"/>
  <c r="M202" i="18"/>
  <c r="O202" i="18"/>
  <c r="L203" i="18"/>
  <c r="M203" i="18"/>
  <c r="O203" i="18"/>
  <c r="L204" i="18"/>
  <c r="M204" i="18"/>
  <c r="O204" i="18"/>
  <c r="L205" i="18"/>
  <c r="M205" i="18"/>
  <c r="O205" i="18"/>
  <c r="L206" i="18"/>
  <c r="M206" i="18"/>
  <c r="O206" i="18"/>
  <c r="L207" i="18"/>
  <c r="M207" i="18"/>
  <c r="O207" i="18"/>
  <c r="L208" i="18"/>
  <c r="M208" i="18"/>
  <c r="O208" i="18"/>
  <c r="L209" i="18"/>
  <c r="M209" i="18"/>
  <c r="O209" i="18"/>
  <c r="L210" i="18"/>
  <c r="M210" i="18"/>
  <c r="O210" i="18"/>
  <c r="L211" i="18"/>
  <c r="M211" i="18"/>
  <c r="O211" i="18"/>
  <c r="L212" i="18"/>
  <c r="M212" i="18"/>
  <c r="O212" i="18"/>
  <c r="L213" i="18"/>
  <c r="M213" i="18"/>
  <c r="O213" i="18"/>
  <c r="L214" i="18"/>
  <c r="M214" i="18"/>
  <c r="O214" i="18"/>
  <c r="L215" i="18"/>
  <c r="M215" i="18"/>
  <c r="O215" i="18"/>
  <c r="L216" i="18"/>
  <c r="M216" i="18"/>
  <c r="O216" i="18"/>
  <c r="L217" i="18"/>
  <c r="M217" i="18"/>
  <c r="O217" i="18"/>
  <c r="L218" i="18"/>
  <c r="M218" i="18"/>
  <c r="O218" i="18"/>
  <c r="L219" i="18"/>
  <c r="M219" i="18"/>
  <c r="O219" i="18"/>
  <c r="L220" i="18"/>
  <c r="M220" i="18"/>
  <c r="O220" i="18"/>
  <c r="L221" i="18"/>
  <c r="M221" i="18"/>
  <c r="O221" i="18"/>
  <c r="L222" i="18"/>
  <c r="M222" i="18"/>
  <c r="O222" i="18"/>
  <c r="L223" i="18"/>
  <c r="M223" i="18"/>
  <c r="O223" i="18"/>
  <c r="L224" i="18"/>
  <c r="M224" i="18"/>
  <c r="O224" i="18"/>
  <c r="L225" i="18"/>
  <c r="M225" i="18"/>
  <c r="O225" i="18"/>
  <c r="L226" i="18"/>
  <c r="M226" i="18"/>
  <c r="O226" i="18"/>
  <c r="L227" i="18"/>
  <c r="M227" i="18"/>
  <c r="O227" i="18"/>
  <c r="L228" i="18"/>
  <c r="M228" i="18"/>
  <c r="O228" i="18"/>
  <c r="L229" i="18"/>
  <c r="M229" i="18"/>
  <c r="O229" i="18"/>
  <c r="L230" i="18"/>
  <c r="M230" i="18"/>
  <c r="O230" i="18"/>
  <c r="L231" i="18"/>
  <c r="M231" i="18"/>
  <c r="O231" i="18"/>
  <c r="L232" i="18"/>
  <c r="M232" i="18"/>
  <c r="O232" i="18"/>
  <c r="L233" i="18"/>
  <c r="M233" i="18"/>
  <c r="O233" i="18"/>
  <c r="L234" i="18"/>
  <c r="M234" i="18"/>
  <c r="O234" i="18"/>
  <c r="L235" i="18"/>
  <c r="M235" i="18"/>
  <c r="O235" i="18"/>
  <c r="L236" i="18"/>
  <c r="M236" i="18"/>
  <c r="O236" i="18"/>
  <c r="L237" i="18"/>
  <c r="M237" i="18"/>
  <c r="O237" i="18"/>
  <c r="L238" i="18"/>
  <c r="M238" i="18"/>
  <c r="O238" i="18"/>
  <c r="L239" i="18"/>
  <c r="M239" i="18"/>
  <c r="O239" i="18"/>
  <c r="L240" i="18"/>
  <c r="M240" i="18"/>
  <c r="O240" i="18"/>
  <c r="L241" i="18"/>
  <c r="M241" i="18"/>
  <c r="O241" i="18"/>
  <c r="L242" i="18"/>
  <c r="M242" i="18"/>
  <c r="O242" i="18"/>
  <c r="L243" i="18"/>
  <c r="M243" i="18"/>
  <c r="O243" i="18"/>
  <c r="L244" i="18"/>
  <c r="M244" i="18"/>
  <c r="O244" i="18"/>
  <c r="L245" i="18"/>
  <c r="M245" i="18"/>
  <c r="O245" i="18"/>
  <c r="L246" i="18"/>
  <c r="M246" i="18"/>
  <c r="O246" i="18"/>
  <c r="L247" i="18"/>
  <c r="M247" i="18"/>
  <c r="O247" i="18"/>
  <c r="L248" i="18"/>
  <c r="M248" i="18"/>
  <c r="O248" i="18"/>
  <c r="L249" i="18"/>
  <c r="M249" i="18"/>
  <c r="O249" i="18"/>
  <c r="L250" i="18"/>
  <c r="M250" i="18"/>
  <c r="O250" i="18"/>
  <c r="L251" i="18"/>
  <c r="M251" i="18"/>
  <c r="O251" i="18"/>
  <c r="L252" i="18"/>
  <c r="M252" i="18"/>
  <c r="O252" i="18"/>
  <c r="L253" i="18"/>
  <c r="M253" i="18"/>
  <c r="O253" i="18"/>
  <c r="L254" i="18"/>
  <c r="M254" i="18"/>
  <c r="O254" i="18"/>
  <c r="L255" i="18"/>
  <c r="M255" i="18"/>
  <c r="O255" i="18"/>
  <c r="L256" i="18"/>
  <c r="M256" i="18"/>
  <c r="O256" i="18"/>
  <c r="L257" i="18"/>
  <c r="M257" i="18"/>
  <c r="O257" i="18"/>
  <c r="L258" i="18"/>
  <c r="M258" i="18"/>
  <c r="O258" i="18"/>
  <c r="L259" i="18"/>
  <c r="M259" i="18"/>
  <c r="O259" i="18"/>
  <c r="L260" i="18"/>
  <c r="M260" i="18"/>
  <c r="O260" i="18"/>
  <c r="L261" i="18"/>
  <c r="M261" i="18"/>
  <c r="O261" i="18"/>
  <c r="L262" i="18"/>
  <c r="M262" i="18"/>
  <c r="O262" i="18"/>
  <c r="L263" i="18"/>
  <c r="M263" i="18"/>
  <c r="O263" i="18"/>
  <c r="L264" i="18"/>
  <c r="M264" i="18"/>
  <c r="O264" i="18"/>
  <c r="L265" i="18"/>
  <c r="M265" i="18"/>
  <c r="O265" i="18"/>
  <c r="D5" i="18"/>
  <c r="E5" i="18"/>
  <c r="D6" i="18"/>
  <c r="E6" i="18"/>
  <c r="D7" i="18"/>
  <c r="E7" i="18"/>
  <c r="D8" i="18"/>
  <c r="E8" i="18"/>
  <c r="D9" i="18"/>
  <c r="E9" i="18"/>
  <c r="D10" i="18"/>
  <c r="E10" i="18"/>
  <c r="D11" i="18"/>
  <c r="E11" i="18"/>
  <c r="D12" i="18"/>
  <c r="E12" i="18"/>
  <c r="D13" i="18"/>
  <c r="E13" i="18"/>
  <c r="D14" i="18"/>
  <c r="E14" i="18"/>
  <c r="D15" i="18"/>
  <c r="E15" i="18"/>
  <c r="D16" i="18"/>
  <c r="E16" i="18"/>
  <c r="D17" i="18"/>
  <c r="E17" i="18"/>
  <c r="D18" i="18"/>
  <c r="E18" i="18"/>
  <c r="D19" i="18"/>
  <c r="E19" i="18"/>
  <c r="D20" i="18"/>
  <c r="E20" i="18"/>
  <c r="D21" i="18"/>
  <c r="E21" i="18"/>
  <c r="D22" i="18"/>
  <c r="E22" i="18"/>
  <c r="D23" i="18"/>
  <c r="E23" i="18"/>
  <c r="D24" i="18"/>
  <c r="E24" i="18"/>
  <c r="D25" i="18"/>
  <c r="E25" i="18"/>
  <c r="D26" i="18"/>
  <c r="E26" i="18"/>
  <c r="D27" i="18"/>
  <c r="E27" i="18"/>
  <c r="D28" i="18"/>
  <c r="E28" i="18"/>
  <c r="D29" i="18"/>
  <c r="E29" i="18"/>
  <c r="D30" i="18"/>
  <c r="E30" i="18"/>
  <c r="D31" i="18"/>
  <c r="E31" i="18"/>
  <c r="D32" i="18"/>
  <c r="E32" i="18"/>
  <c r="D33" i="18"/>
  <c r="E33" i="18"/>
  <c r="D34" i="18"/>
  <c r="E34" i="18"/>
  <c r="D35" i="18"/>
  <c r="E35" i="18"/>
  <c r="D36" i="18"/>
  <c r="E36" i="18"/>
  <c r="D37" i="18"/>
  <c r="E37" i="18"/>
  <c r="D38" i="18"/>
  <c r="E38" i="18"/>
  <c r="D39" i="18"/>
  <c r="E39" i="18"/>
  <c r="D40" i="18"/>
  <c r="E40" i="18"/>
  <c r="D41" i="18"/>
  <c r="E41" i="18"/>
  <c r="D42" i="18"/>
  <c r="E42" i="18"/>
  <c r="D43" i="18"/>
  <c r="E43" i="18"/>
  <c r="D44" i="18"/>
  <c r="E44" i="18"/>
  <c r="D45" i="18"/>
  <c r="E45" i="18"/>
  <c r="D46" i="18"/>
  <c r="E46" i="18"/>
  <c r="D47" i="18"/>
  <c r="E47" i="18"/>
  <c r="D48" i="18"/>
  <c r="E48" i="18"/>
  <c r="D49" i="18"/>
  <c r="E49" i="18"/>
  <c r="D50" i="18"/>
  <c r="E50" i="18"/>
  <c r="D51" i="18"/>
  <c r="E51" i="18"/>
  <c r="D52" i="18"/>
  <c r="E52" i="18"/>
  <c r="D53" i="18"/>
  <c r="E53" i="18"/>
  <c r="D54" i="18"/>
  <c r="E54" i="18"/>
  <c r="D55" i="18"/>
  <c r="E55" i="18"/>
  <c r="D56" i="18"/>
  <c r="E56" i="18"/>
  <c r="D57" i="18"/>
  <c r="E57" i="18"/>
  <c r="D58" i="18"/>
  <c r="E58" i="18"/>
  <c r="D59" i="18"/>
  <c r="E59" i="18"/>
  <c r="D60" i="18"/>
  <c r="E60" i="18"/>
  <c r="D61" i="18"/>
  <c r="E61" i="18"/>
  <c r="D62" i="18"/>
  <c r="E62" i="18"/>
  <c r="D63" i="18"/>
  <c r="E63" i="18"/>
  <c r="D64" i="18"/>
  <c r="E64" i="18"/>
  <c r="D65" i="18"/>
  <c r="E65" i="18"/>
  <c r="D66" i="18"/>
  <c r="E66" i="18"/>
  <c r="D67" i="18"/>
  <c r="E67" i="18"/>
  <c r="D68" i="18"/>
  <c r="E68" i="18"/>
  <c r="D69" i="18"/>
  <c r="E69" i="18"/>
  <c r="D70" i="18"/>
  <c r="E70" i="18"/>
  <c r="D71" i="18"/>
  <c r="E71" i="18"/>
  <c r="D72" i="18"/>
  <c r="E72" i="18"/>
  <c r="D73" i="18"/>
  <c r="E73" i="18"/>
  <c r="D74" i="18"/>
  <c r="E74" i="18"/>
  <c r="D75" i="18"/>
  <c r="E75" i="18"/>
  <c r="D76" i="18"/>
  <c r="E76" i="18"/>
  <c r="D77" i="18"/>
  <c r="E77" i="18"/>
  <c r="D78" i="18"/>
  <c r="E78" i="18"/>
  <c r="D79" i="18"/>
  <c r="E79" i="18"/>
  <c r="D80" i="18"/>
  <c r="E80" i="18"/>
  <c r="D81" i="18"/>
  <c r="E81" i="18"/>
  <c r="D82" i="18"/>
  <c r="E82" i="18"/>
  <c r="D83" i="18"/>
  <c r="E83" i="18"/>
  <c r="D84" i="18"/>
  <c r="E84" i="18"/>
  <c r="D85" i="18"/>
  <c r="E85" i="18"/>
  <c r="D86" i="18"/>
  <c r="E86" i="18"/>
  <c r="D87" i="18"/>
  <c r="E87" i="18"/>
  <c r="D88" i="18"/>
  <c r="E88" i="18"/>
  <c r="D89" i="18"/>
  <c r="E89" i="18"/>
  <c r="D90" i="18"/>
  <c r="E90" i="18"/>
  <c r="D91" i="18"/>
  <c r="E91" i="18"/>
  <c r="D92" i="18"/>
  <c r="E92" i="18"/>
  <c r="D93" i="18"/>
  <c r="E93" i="18"/>
  <c r="D94" i="18"/>
  <c r="E94" i="18"/>
  <c r="D95" i="18"/>
  <c r="E95" i="18"/>
  <c r="D96" i="18"/>
  <c r="E96" i="18"/>
  <c r="D97" i="18"/>
  <c r="E97" i="18"/>
  <c r="D98" i="18"/>
  <c r="E98" i="18"/>
  <c r="D99" i="18"/>
  <c r="E99" i="18"/>
  <c r="D100" i="18"/>
  <c r="E100" i="18"/>
  <c r="D101" i="18"/>
  <c r="E101" i="18"/>
  <c r="D102" i="18"/>
  <c r="E102" i="18"/>
  <c r="D103" i="18"/>
  <c r="E103" i="18"/>
  <c r="D104" i="18"/>
  <c r="E104" i="18"/>
  <c r="D105" i="18"/>
  <c r="E105" i="18"/>
  <c r="D106" i="18"/>
  <c r="E106" i="18"/>
  <c r="D107" i="18"/>
  <c r="E107" i="18"/>
  <c r="D108" i="18"/>
  <c r="E108" i="18"/>
  <c r="D109" i="18"/>
  <c r="E109" i="18"/>
  <c r="D110" i="18"/>
  <c r="E110" i="18"/>
  <c r="D111" i="18"/>
  <c r="E111" i="18"/>
  <c r="D112" i="18"/>
  <c r="E112" i="18"/>
  <c r="D113" i="18"/>
  <c r="E113" i="18"/>
  <c r="D114" i="18"/>
  <c r="E114" i="18"/>
  <c r="D115" i="18"/>
  <c r="E115" i="18"/>
  <c r="D116" i="18"/>
  <c r="E116" i="18"/>
  <c r="D117" i="18"/>
  <c r="E117" i="18"/>
  <c r="D118" i="18"/>
  <c r="E118" i="18"/>
  <c r="D119" i="18"/>
  <c r="E119" i="18"/>
  <c r="D120" i="18"/>
  <c r="E120" i="18"/>
  <c r="D121" i="18"/>
  <c r="E121" i="18"/>
  <c r="D122" i="18"/>
  <c r="E122" i="18"/>
  <c r="D123" i="18"/>
  <c r="E123" i="18"/>
  <c r="D124" i="18"/>
  <c r="E124" i="18"/>
  <c r="D125" i="18"/>
  <c r="E125" i="18"/>
  <c r="D126" i="18"/>
  <c r="E126" i="18"/>
  <c r="D127" i="18"/>
  <c r="E127" i="18"/>
  <c r="D128" i="18"/>
  <c r="E128" i="18"/>
  <c r="D129" i="18"/>
  <c r="E129" i="18"/>
  <c r="D130" i="18"/>
  <c r="E130" i="18"/>
  <c r="D131" i="18"/>
  <c r="E131" i="18"/>
  <c r="D132" i="18"/>
  <c r="E132" i="18"/>
  <c r="D133" i="18"/>
  <c r="E133" i="18"/>
  <c r="D134" i="18"/>
  <c r="E134" i="18"/>
  <c r="D135" i="18"/>
  <c r="E135" i="18"/>
  <c r="D136" i="18"/>
  <c r="E136" i="18"/>
  <c r="D137" i="18"/>
  <c r="E137" i="18"/>
  <c r="D138" i="18"/>
  <c r="E138" i="18"/>
  <c r="D139" i="18"/>
  <c r="E139" i="18"/>
  <c r="D140" i="18"/>
  <c r="E140" i="18"/>
  <c r="D141" i="18"/>
  <c r="E141" i="18"/>
  <c r="D142" i="18"/>
  <c r="E142" i="18"/>
  <c r="D143" i="18"/>
  <c r="E143" i="18"/>
  <c r="D144" i="18"/>
  <c r="E144" i="18"/>
  <c r="D145" i="18"/>
  <c r="E145" i="18"/>
  <c r="D146" i="18"/>
  <c r="E146" i="18"/>
  <c r="D147" i="18"/>
  <c r="E147" i="18"/>
  <c r="D148" i="18"/>
  <c r="E148" i="18"/>
  <c r="D149" i="18"/>
  <c r="E149" i="18"/>
  <c r="D150" i="18"/>
  <c r="E150" i="18"/>
  <c r="D151" i="18"/>
  <c r="E151" i="18"/>
  <c r="D152" i="18"/>
  <c r="E152" i="18"/>
  <c r="D153" i="18"/>
  <c r="E153" i="18"/>
  <c r="D154" i="18"/>
  <c r="E154" i="18"/>
  <c r="D155" i="18"/>
  <c r="E155" i="18"/>
  <c r="D156" i="18"/>
  <c r="E156" i="18"/>
  <c r="D157" i="18"/>
  <c r="E157" i="18"/>
  <c r="D158" i="18"/>
  <c r="E158" i="18"/>
  <c r="D159" i="18"/>
  <c r="E159" i="18"/>
  <c r="D160" i="18"/>
  <c r="E160" i="18"/>
  <c r="D161" i="18"/>
  <c r="E161" i="18"/>
  <c r="D162" i="18"/>
  <c r="E162" i="18"/>
  <c r="D163" i="18"/>
  <c r="E163" i="18"/>
  <c r="D164" i="18"/>
  <c r="E164" i="18"/>
  <c r="D165" i="18"/>
  <c r="E165" i="18"/>
  <c r="D166" i="18"/>
  <c r="E166" i="18"/>
  <c r="D167" i="18"/>
  <c r="E167" i="18"/>
  <c r="D168" i="18"/>
  <c r="E168" i="18"/>
  <c r="D169" i="18"/>
  <c r="E169" i="18"/>
  <c r="D170" i="18"/>
  <c r="E170" i="18"/>
  <c r="D171" i="18"/>
  <c r="E171" i="18"/>
  <c r="D172" i="18"/>
  <c r="E172" i="18"/>
  <c r="D173" i="18"/>
  <c r="E173" i="18"/>
  <c r="D174" i="18"/>
  <c r="E174" i="18"/>
  <c r="D175" i="18"/>
  <c r="E175" i="18"/>
  <c r="D176" i="18"/>
  <c r="E176" i="18"/>
  <c r="D177" i="18"/>
  <c r="E177" i="18"/>
  <c r="D178" i="18"/>
  <c r="E178" i="18"/>
  <c r="D179" i="18"/>
  <c r="E179" i="18"/>
  <c r="D180" i="18"/>
  <c r="E180" i="18"/>
  <c r="D181" i="18"/>
  <c r="E181" i="18"/>
  <c r="D182" i="18"/>
  <c r="E182" i="18"/>
  <c r="D183" i="18"/>
  <c r="E183" i="18"/>
  <c r="D184" i="18"/>
  <c r="E184" i="18"/>
  <c r="D185" i="18"/>
  <c r="E185" i="18"/>
  <c r="D186" i="18"/>
  <c r="E186" i="18"/>
  <c r="D187" i="18"/>
  <c r="E187" i="18"/>
  <c r="D188" i="18"/>
  <c r="E188" i="18"/>
  <c r="D189" i="18"/>
  <c r="E189" i="18"/>
  <c r="D190" i="18"/>
  <c r="E190" i="18"/>
  <c r="D191" i="18"/>
  <c r="E191" i="18"/>
  <c r="D192" i="18"/>
  <c r="E192" i="18"/>
  <c r="D193" i="18"/>
  <c r="E193" i="18"/>
  <c r="D194" i="18"/>
  <c r="E194" i="18"/>
  <c r="D195" i="18"/>
  <c r="E195" i="18"/>
  <c r="D196" i="18"/>
  <c r="E196" i="18"/>
  <c r="D197" i="18"/>
  <c r="E197" i="18"/>
  <c r="D198" i="18"/>
  <c r="E198" i="18"/>
  <c r="D199" i="18"/>
  <c r="E199" i="18"/>
  <c r="D200" i="18"/>
  <c r="E200" i="18"/>
  <c r="D201" i="18"/>
  <c r="E201" i="18"/>
  <c r="D202" i="18"/>
  <c r="E202" i="18"/>
  <c r="D203" i="18"/>
  <c r="E203" i="18"/>
  <c r="D204" i="18"/>
  <c r="E204" i="18"/>
  <c r="D205" i="18"/>
  <c r="E205" i="18"/>
  <c r="D206" i="18"/>
  <c r="E206" i="18"/>
  <c r="D207" i="18"/>
  <c r="E207" i="18"/>
  <c r="D208" i="18"/>
  <c r="E208" i="18"/>
  <c r="D209" i="18"/>
  <c r="E209" i="18"/>
  <c r="D210" i="18"/>
  <c r="E210" i="18"/>
  <c r="D211" i="18"/>
  <c r="E211" i="18"/>
  <c r="D212" i="18"/>
  <c r="E212" i="18"/>
  <c r="D213" i="18"/>
  <c r="E213" i="18"/>
  <c r="D214" i="18"/>
  <c r="E214" i="18"/>
  <c r="D215" i="18"/>
  <c r="E215" i="18"/>
  <c r="D216" i="18"/>
  <c r="E216" i="18"/>
  <c r="D217" i="18"/>
  <c r="E217" i="18"/>
  <c r="D218" i="18"/>
  <c r="E218" i="18"/>
  <c r="D219" i="18"/>
  <c r="E219" i="18"/>
  <c r="D220" i="18"/>
  <c r="E220" i="18"/>
  <c r="D221" i="18"/>
  <c r="E221" i="18"/>
  <c r="D222" i="18"/>
  <c r="E222" i="18"/>
  <c r="D223" i="18"/>
  <c r="E223" i="18"/>
  <c r="D224" i="18"/>
  <c r="E224" i="18"/>
  <c r="D225" i="18"/>
  <c r="E225" i="18"/>
  <c r="D226" i="18"/>
  <c r="E226" i="18"/>
  <c r="D227" i="18"/>
  <c r="E227" i="18"/>
  <c r="D228" i="18"/>
  <c r="E228" i="18"/>
  <c r="D229" i="18"/>
  <c r="E229" i="18"/>
  <c r="D230" i="18"/>
  <c r="E230" i="18"/>
  <c r="D231" i="18"/>
  <c r="E231" i="18"/>
  <c r="D232" i="18"/>
  <c r="E232" i="18"/>
  <c r="D233" i="18"/>
  <c r="E233" i="18"/>
  <c r="D234" i="18"/>
  <c r="E234" i="18"/>
  <c r="D235" i="18"/>
  <c r="E235" i="18"/>
  <c r="D236" i="18"/>
  <c r="E236" i="18"/>
  <c r="D237" i="18"/>
  <c r="E237" i="18"/>
  <c r="D238" i="18"/>
  <c r="E238" i="18"/>
  <c r="D239" i="18"/>
  <c r="E239" i="18"/>
  <c r="D240" i="18"/>
  <c r="E240" i="18"/>
  <c r="D241" i="18"/>
  <c r="E241" i="18"/>
  <c r="D242" i="18"/>
  <c r="E242" i="18"/>
  <c r="D243" i="18"/>
  <c r="E243" i="18"/>
  <c r="D244" i="18"/>
  <c r="E244" i="18"/>
  <c r="D245" i="18"/>
  <c r="E245" i="18"/>
  <c r="D246" i="18"/>
  <c r="E246" i="18"/>
  <c r="D247" i="18"/>
  <c r="E247" i="18"/>
  <c r="D248" i="18"/>
  <c r="E248" i="18"/>
  <c r="D249" i="18"/>
  <c r="E249" i="18"/>
  <c r="D250" i="18"/>
  <c r="E250" i="18"/>
  <c r="D251" i="18"/>
  <c r="E251" i="18"/>
  <c r="D252" i="18"/>
  <c r="E252" i="18"/>
  <c r="D253" i="18"/>
  <c r="E253" i="18"/>
  <c r="D254" i="18"/>
  <c r="E254" i="18"/>
  <c r="D255" i="18"/>
  <c r="E255" i="18"/>
  <c r="D256" i="18"/>
  <c r="E256" i="18"/>
  <c r="D257" i="18"/>
  <c r="E257" i="18"/>
  <c r="D258" i="18"/>
  <c r="E258" i="18"/>
  <c r="D259" i="18"/>
  <c r="E259" i="18"/>
  <c r="D260" i="18"/>
  <c r="E260" i="18"/>
  <c r="D261" i="18"/>
  <c r="E261" i="18"/>
  <c r="D262" i="18"/>
  <c r="E262" i="18"/>
  <c r="D263" i="18"/>
  <c r="E263" i="18"/>
  <c r="D264" i="18"/>
  <c r="E264" i="18"/>
  <c r="D265" i="18"/>
  <c r="E265" i="18"/>
  <c r="L5" i="19"/>
  <c r="M5" i="19"/>
  <c r="L6" i="19"/>
  <c r="M6" i="19"/>
  <c r="L7" i="19"/>
  <c r="M7" i="19"/>
  <c r="L8" i="19"/>
  <c r="M8" i="19"/>
  <c r="L9" i="19"/>
  <c r="M9" i="19"/>
  <c r="L10" i="19"/>
  <c r="M10" i="19"/>
  <c r="L11" i="19"/>
  <c r="M11" i="19"/>
  <c r="L12" i="19"/>
  <c r="M12" i="19"/>
  <c r="L13" i="19"/>
  <c r="M13" i="19"/>
  <c r="L14" i="19"/>
  <c r="M14" i="19"/>
  <c r="L15" i="19"/>
  <c r="M15" i="19"/>
  <c r="L16" i="19"/>
  <c r="M16" i="19"/>
  <c r="L17" i="19"/>
  <c r="M17" i="19"/>
  <c r="L18" i="19"/>
  <c r="M18" i="19"/>
  <c r="L19" i="19"/>
  <c r="M19" i="19"/>
  <c r="L20" i="19"/>
  <c r="M20" i="19"/>
  <c r="L21" i="19"/>
  <c r="M21" i="19"/>
  <c r="L22" i="19"/>
  <c r="M22" i="19"/>
  <c r="O22" i="19"/>
  <c r="L23" i="19"/>
  <c r="M23" i="19"/>
  <c r="O23" i="19"/>
  <c r="L24" i="19"/>
  <c r="M24" i="19"/>
  <c r="O24" i="19"/>
  <c r="L25" i="19"/>
  <c r="M25" i="19"/>
  <c r="O25" i="19"/>
  <c r="L26" i="19"/>
  <c r="M26" i="19"/>
  <c r="O26" i="19"/>
  <c r="L27" i="19"/>
  <c r="M27" i="19"/>
  <c r="O27" i="19"/>
  <c r="L28" i="19"/>
  <c r="M28" i="19"/>
  <c r="O28" i="19"/>
  <c r="L29" i="19"/>
  <c r="M29" i="19"/>
  <c r="O29" i="19"/>
  <c r="L30" i="19"/>
  <c r="M30" i="19"/>
  <c r="O30" i="19"/>
  <c r="L31" i="19"/>
  <c r="M31" i="19"/>
  <c r="O31" i="19"/>
  <c r="L32" i="19"/>
  <c r="M32" i="19"/>
  <c r="O32" i="19"/>
  <c r="L33" i="19"/>
  <c r="M33" i="19"/>
  <c r="O33" i="19"/>
  <c r="L34" i="19"/>
  <c r="M34" i="19"/>
  <c r="O34" i="19"/>
  <c r="L35" i="19"/>
  <c r="M35" i="19"/>
  <c r="O35" i="19"/>
  <c r="L36" i="19"/>
  <c r="M36" i="19"/>
  <c r="O36" i="19"/>
  <c r="L37" i="19"/>
  <c r="M37" i="19"/>
  <c r="O37" i="19"/>
  <c r="L38" i="19"/>
  <c r="M38" i="19"/>
  <c r="O38" i="19"/>
  <c r="L39" i="19"/>
  <c r="M39" i="19"/>
  <c r="O39" i="19"/>
  <c r="L40" i="19"/>
  <c r="M40" i="19"/>
  <c r="O40" i="19"/>
  <c r="L41" i="19"/>
  <c r="M41" i="19"/>
  <c r="O41" i="19"/>
  <c r="L42" i="19"/>
  <c r="M42" i="19"/>
  <c r="O42" i="19"/>
  <c r="L43" i="19"/>
  <c r="M43" i="19"/>
  <c r="O43" i="19"/>
  <c r="L44" i="19"/>
  <c r="M44" i="19"/>
  <c r="O44" i="19"/>
  <c r="L45" i="19"/>
  <c r="M45" i="19"/>
  <c r="O45" i="19"/>
  <c r="L46" i="19"/>
  <c r="M46" i="19"/>
  <c r="O46" i="19"/>
  <c r="L47" i="19"/>
  <c r="M47" i="19"/>
  <c r="O47" i="19"/>
  <c r="L48" i="19"/>
  <c r="M48" i="19"/>
  <c r="O48" i="19"/>
  <c r="L49" i="19"/>
  <c r="M49" i="19"/>
  <c r="O49" i="19"/>
  <c r="L50" i="19"/>
  <c r="M50" i="19"/>
  <c r="O50" i="19"/>
  <c r="L51" i="19"/>
  <c r="M51" i="19"/>
  <c r="O51" i="19"/>
  <c r="L52" i="19"/>
  <c r="M52" i="19"/>
  <c r="O52" i="19"/>
  <c r="L53" i="19"/>
  <c r="M53" i="19"/>
  <c r="O53" i="19"/>
  <c r="L54" i="19"/>
  <c r="M54" i="19"/>
  <c r="O54" i="19"/>
  <c r="L55" i="19"/>
  <c r="M55" i="19"/>
  <c r="O55" i="19"/>
  <c r="L56" i="19"/>
  <c r="M56" i="19"/>
  <c r="O56" i="19"/>
  <c r="L57" i="19"/>
  <c r="M57" i="19"/>
  <c r="O57" i="19"/>
  <c r="L58" i="19"/>
  <c r="M58" i="19"/>
  <c r="O58" i="19"/>
  <c r="L59" i="19"/>
  <c r="M59" i="19"/>
  <c r="O59" i="19"/>
  <c r="L60" i="19"/>
  <c r="M60" i="19"/>
  <c r="O60" i="19"/>
  <c r="L61" i="19"/>
  <c r="M61" i="19"/>
  <c r="O61" i="19"/>
  <c r="L62" i="19"/>
  <c r="M62" i="19"/>
  <c r="O62" i="19"/>
  <c r="L63" i="19"/>
  <c r="M63" i="19"/>
  <c r="O63" i="19"/>
  <c r="L64" i="19"/>
  <c r="M64" i="19"/>
  <c r="O64" i="19"/>
  <c r="L65" i="19"/>
  <c r="M65" i="19"/>
  <c r="O65" i="19"/>
  <c r="L66" i="19"/>
  <c r="M66" i="19"/>
  <c r="O66" i="19"/>
  <c r="L67" i="19"/>
  <c r="M67" i="19"/>
  <c r="O67" i="19"/>
  <c r="L68" i="19"/>
  <c r="M68" i="19"/>
  <c r="O68" i="19"/>
  <c r="L69" i="19"/>
  <c r="M69" i="19"/>
  <c r="O69" i="19"/>
  <c r="L70" i="19"/>
  <c r="M70" i="19"/>
  <c r="O70" i="19"/>
  <c r="L71" i="19"/>
  <c r="M71" i="19"/>
  <c r="O71" i="19"/>
  <c r="L72" i="19"/>
  <c r="M72" i="19"/>
  <c r="O72" i="19"/>
  <c r="L73" i="19"/>
  <c r="M73" i="19"/>
  <c r="O73" i="19"/>
  <c r="L74" i="19"/>
  <c r="M74" i="19"/>
  <c r="O74" i="19"/>
  <c r="L75" i="19"/>
  <c r="M75" i="19"/>
  <c r="O75" i="19"/>
  <c r="L76" i="19"/>
  <c r="M76" i="19"/>
  <c r="O76" i="19"/>
  <c r="L77" i="19"/>
  <c r="M77" i="19"/>
  <c r="O77" i="19"/>
  <c r="L78" i="19"/>
  <c r="M78" i="19"/>
  <c r="O78" i="19"/>
  <c r="L79" i="19"/>
  <c r="M79" i="19"/>
  <c r="O79" i="19"/>
  <c r="L80" i="19"/>
  <c r="M80" i="19"/>
  <c r="O80" i="19"/>
  <c r="L81" i="19"/>
  <c r="M81" i="19"/>
  <c r="O81" i="19"/>
  <c r="L82" i="19"/>
  <c r="M82" i="19"/>
  <c r="O82" i="19"/>
  <c r="L83" i="19"/>
  <c r="M83" i="19"/>
  <c r="O83" i="19"/>
  <c r="L84" i="19"/>
  <c r="M84" i="19"/>
  <c r="O84" i="19"/>
  <c r="L85" i="19"/>
  <c r="M85" i="19"/>
  <c r="O85" i="19"/>
  <c r="L86" i="19"/>
  <c r="M86" i="19"/>
  <c r="O86" i="19"/>
  <c r="L87" i="19"/>
  <c r="M87" i="19"/>
  <c r="O87" i="19"/>
  <c r="L88" i="19"/>
  <c r="M88" i="19"/>
  <c r="O88" i="19"/>
  <c r="L89" i="19"/>
  <c r="M89" i="19"/>
  <c r="O89" i="19"/>
  <c r="L90" i="19"/>
  <c r="M90" i="19"/>
  <c r="O90" i="19"/>
  <c r="L91" i="19"/>
  <c r="M91" i="19"/>
  <c r="O91" i="19"/>
  <c r="L92" i="19"/>
  <c r="M92" i="19"/>
  <c r="O92" i="19"/>
  <c r="L93" i="19"/>
  <c r="M93" i="19"/>
  <c r="O93" i="19"/>
  <c r="L94" i="19"/>
  <c r="M94" i="19"/>
  <c r="O94" i="19"/>
  <c r="L95" i="19"/>
  <c r="M95" i="19"/>
  <c r="O95" i="19"/>
  <c r="L96" i="19"/>
  <c r="M96" i="19"/>
  <c r="O96" i="19"/>
  <c r="L97" i="19"/>
  <c r="M97" i="19"/>
  <c r="O97" i="19"/>
  <c r="L98" i="19"/>
  <c r="M98" i="19"/>
  <c r="O98" i="19"/>
  <c r="L99" i="19"/>
  <c r="M99" i="19"/>
  <c r="O99" i="19"/>
  <c r="L100" i="19"/>
  <c r="M100" i="19"/>
  <c r="O100" i="19"/>
  <c r="L101" i="19"/>
  <c r="M101" i="19"/>
  <c r="O101" i="19"/>
  <c r="L102" i="19"/>
  <c r="M102" i="19"/>
  <c r="O102" i="19"/>
  <c r="L103" i="19"/>
  <c r="M103" i="19"/>
  <c r="O103" i="19"/>
  <c r="L104" i="19"/>
  <c r="M104" i="19"/>
  <c r="O104" i="19"/>
  <c r="L105" i="19"/>
  <c r="M105" i="19"/>
  <c r="O105" i="19"/>
  <c r="L106" i="19"/>
  <c r="M106" i="19"/>
  <c r="O106" i="19"/>
  <c r="L107" i="19"/>
  <c r="M107" i="19"/>
  <c r="O107" i="19"/>
  <c r="L108" i="19"/>
  <c r="M108" i="19"/>
  <c r="O108" i="19"/>
  <c r="L109" i="19"/>
  <c r="M109" i="19"/>
  <c r="O109" i="19"/>
  <c r="L110" i="19"/>
  <c r="M110" i="19"/>
  <c r="O110" i="19"/>
  <c r="L111" i="19"/>
  <c r="M111" i="19"/>
  <c r="O111" i="19"/>
  <c r="L112" i="19"/>
  <c r="M112" i="19"/>
  <c r="O112" i="19"/>
  <c r="L113" i="19"/>
  <c r="M113" i="19"/>
  <c r="O113" i="19"/>
  <c r="L114" i="19"/>
  <c r="M114" i="19"/>
  <c r="O114" i="19"/>
  <c r="L115" i="19"/>
  <c r="M115" i="19"/>
  <c r="O115" i="19"/>
  <c r="L116" i="19"/>
  <c r="M116" i="19"/>
  <c r="O116" i="19"/>
  <c r="L117" i="19"/>
  <c r="M117" i="19"/>
  <c r="O117" i="19"/>
  <c r="L118" i="19"/>
  <c r="M118" i="19"/>
  <c r="O118" i="19"/>
  <c r="L119" i="19"/>
  <c r="M119" i="19"/>
  <c r="O119" i="19"/>
  <c r="L120" i="19"/>
  <c r="M120" i="19"/>
  <c r="O120" i="19"/>
  <c r="L121" i="19"/>
  <c r="M121" i="19"/>
  <c r="O121" i="19"/>
  <c r="L122" i="19"/>
  <c r="M122" i="19"/>
  <c r="O122" i="19"/>
  <c r="L123" i="19"/>
  <c r="M123" i="19"/>
  <c r="O123" i="19"/>
  <c r="L124" i="19"/>
  <c r="M124" i="19"/>
  <c r="O124" i="19"/>
  <c r="L125" i="19"/>
  <c r="M125" i="19"/>
  <c r="O125" i="19"/>
  <c r="L126" i="19"/>
  <c r="M126" i="19"/>
  <c r="O126" i="19"/>
  <c r="L127" i="19"/>
  <c r="M127" i="19"/>
  <c r="O127" i="19"/>
  <c r="L128" i="19"/>
  <c r="M128" i="19"/>
  <c r="O128" i="19"/>
  <c r="L129" i="19"/>
  <c r="M129" i="19"/>
  <c r="O129" i="19"/>
  <c r="L130" i="19"/>
  <c r="M130" i="19"/>
  <c r="O130" i="19"/>
  <c r="L131" i="19"/>
  <c r="M131" i="19"/>
  <c r="O131" i="19"/>
  <c r="L132" i="19"/>
  <c r="M132" i="19"/>
  <c r="O132" i="19"/>
  <c r="L133" i="19"/>
  <c r="M133" i="19"/>
  <c r="O133" i="19"/>
  <c r="L134" i="19"/>
  <c r="M134" i="19"/>
  <c r="O134" i="19"/>
  <c r="L135" i="19"/>
  <c r="M135" i="19"/>
  <c r="O135" i="19"/>
  <c r="L136" i="19"/>
  <c r="M136" i="19"/>
  <c r="O136" i="19"/>
  <c r="L137" i="19"/>
  <c r="M137" i="19"/>
  <c r="O137" i="19"/>
  <c r="L138" i="19"/>
  <c r="M138" i="19"/>
  <c r="O138" i="19"/>
  <c r="L139" i="19"/>
  <c r="M139" i="19"/>
  <c r="O139" i="19"/>
  <c r="L140" i="19"/>
  <c r="M140" i="19"/>
  <c r="O140" i="19"/>
  <c r="L141" i="19"/>
  <c r="M141" i="19"/>
  <c r="O141" i="19"/>
  <c r="L142" i="19"/>
  <c r="M142" i="19"/>
  <c r="O142" i="19"/>
  <c r="L143" i="19"/>
  <c r="M143" i="19"/>
  <c r="O143" i="19"/>
  <c r="L144" i="19"/>
  <c r="M144" i="19"/>
  <c r="O144" i="19"/>
  <c r="L145" i="19"/>
  <c r="M145" i="19"/>
  <c r="O145" i="19"/>
  <c r="L146" i="19"/>
  <c r="M146" i="19"/>
  <c r="O146" i="19"/>
  <c r="L147" i="19"/>
  <c r="M147" i="19"/>
  <c r="O147" i="19"/>
  <c r="L148" i="19"/>
  <c r="M148" i="19"/>
  <c r="O148" i="19"/>
  <c r="L149" i="19"/>
  <c r="M149" i="19"/>
  <c r="O149" i="19"/>
  <c r="L150" i="19"/>
  <c r="M150" i="19"/>
  <c r="O150" i="19"/>
  <c r="L151" i="19"/>
  <c r="M151" i="19"/>
  <c r="O151" i="19"/>
  <c r="L152" i="19"/>
  <c r="M152" i="19"/>
  <c r="O152" i="19"/>
  <c r="L153" i="19"/>
  <c r="M153" i="19"/>
  <c r="O153" i="19"/>
  <c r="L154" i="19"/>
  <c r="M154" i="19"/>
  <c r="O154" i="19"/>
  <c r="L155" i="19"/>
  <c r="M155" i="19"/>
  <c r="O155" i="19"/>
  <c r="L156" i="19"/>
  <c r="M156" i="19"/>
  <c r="O156" i="19"/>
  <c r="L157" i="19"/>
  <c r="M157" i="19"/>
  <c r="O157" i="19"/>
  <c r="L158" i="19"/>
  <c r="M158" i="19"/>
  <c r="O158" i="19"/>
  <c r="L159" i="19"/>
  <c r="M159" i="19"/>
  <c r="O159" i="19"/>
  <c r="L160" i="19"/>
  <c r="M160" i="19"/>
  <c r="O160" i="19"/>
  <c r="L161" i="19"/>
  <c r="M161" i="19"/>
  <c r="O161" i="19"/>
  <c r="L162" i="19"/>
  <c r="M162" i="19"/>
  <c r="O162" i="19"/>
  <c r="L163" i="19"/>
  <c r="M163" i="19"/>
  <c r="O163" i="19"/>
  <c r="L164" i="19"/>
  <c r="M164" i="19"/>
  <c r="O164" i="19"/>
  <c r="L165" i="19"/>
  <c r="M165" i="19"/>
  <c r="O165" i="19"/>
  <c r="L166" i="19"/>
  <c r="M166" i="19"/>
  <c r="O166" i="19"/>
  <c r="L167" i="19"/>
  <c r="M167" i="19"/>
  <c r="O167" i="19"/>
  <c r="L168" i="19"/>
  <c r="M168" i="19"/>
  <c r="O168" i="19"/>
  <c r="L169" i="19"/>
  <c r="M169" i="19"/>
  <c r="O169" i="19"/>
  <c r="L170" i="19"/>
  <c r="M170" i="19"/>
  <c r="O170" i="19"/>
  <c r="L171" i="19"/>
  <c r="M171" i="19"/>
  <c r="O171" i="19"/>
  <c r="L172" i="19"/>
  <c r="M172" i="19"/>
  <c r="O172" i="19"/>
  <c r="L173" i="19"/>
  <c r="M173" i="19"/>
  <c r="O173" i="19"/>
  <c r="L174" i="19"/>
  <c r="M174" i="19"/>
  <c r="O174" i="19"/>
  <c r="L175" i="19"/>
  <c r="M175" i="19"/>
  <c r="O175" i="19"/>
  <c r="L176" i="19"/>
  <c r="M176" i="19"/>
  <c r="O176" i="19"/>
  <c r="L177" i="19"/>
  <c r="M177" i="19"/>
  <c r="O177" i="19"/>
  <c r="L178" i="19"/>
  <c r="M178" i="19"/>
  <c r="O178" i="19"/>
  <c r="L179" i="19"/>
  <c r="M179" i="19"/>
  <c r="O179" i="19"/>
  <c r="L180" i="19"/>
  <c r="M180" i="19"/>
  <c r="O180" i="19"/>
  <c r="L181" i="19"/>
  <c r="M181" i="19"/>
  <c r="O181" i="19"/>
  <c r="L182" i="19"/>
  <c r="M182" i="19"/>
  <c r="O182" i="19"/>
  <c r="L183" i="19"/>
  <c r="M183" i="19"/>
  <c r="O183" i="19"/>
  <c r="L184" i="19"/>
  <c r="M184" i="19"/>
  <c r="O184" i="19"/>
  <c r="L185" i="19"/>
  <c r="M185" i="19"/>
  <c r="O185" i="19"/>
  <c r="L186" i="19"/>
  <c r="M186" i="19"/>
  <c r="O186" i="19"/>
  <c r="L187" i="19"/>
  <c r="M187" i="19"/>
  <c r="O187" i="19"/>
  <c r="L188" i="19"/>
  <c r="M188" i="19"/>
  <c r="O188" i="19"/>
  <c r="L189" i="19"/>
  <c r="M189" i="19"/>
  <c r="O189" i="19"/>
  <c r="L190" i="19"/>
  <c r="M190" i="19"/>
  <c r="O190" i="19"/>
  <c r="L191" i="19"/>
  <c r="M191" i="19"/>
  <c r="O191" i="19"/>
  <c r="L192" i="19"/>
  <c r="M192" i="19"/>
  <c r="O192" i="19"/>
  <c r="L193" i="19"/>
  <c r="M193" i="19"/>
  <c r="O193" i="19"/>
  <c r="L194" i="19"/>
  <c r="M194" i="19"/>
  <c r="O194" i="19"/>
  <c r="L195" i="19"/>
  <c r="M195" i="19"/>
  <c r="O195" i="19"/>
  <c r="L196" i="19"/>
  <c r="M196" i="19"/>
  <c r="O196" i="19"/>
  <c r="L197" i="19"/>
  <c r="M197" i="19"/>
  <c r="O197" i="19"/>
  <c r="L198" i="19"/>
  <c r="M198" i="19"/>
  <c r="O198" i="19"/>
  <c r="L199" i="19"/>
  <c r="M199" i="19"/>
  <c r="O199" i="19"/>
  <c r="L200" i="19"/>
  <c r="M200" i="19"/>
  <c r="O200" i="19"/>
  <c r="L201" i="19"/>
  <c r="M201" i="19"/>
  <c r="O201" i="19"/>
  <c r="L202" i="19"/>
  <c r="M202" i="19"/>
  <c r="O202" i="19"/>
  <c r="L203" i="19"/>
  <c r="M203" i="19"/>
  <c r="O203" i="19"/>
  <c r="L204" i="19"/>
  <c r="M204" i="19"/>
  <c r="O204" i="19"/>
  <c r="L205" i="19"/>
  <c r="M205" i="19"/>
  <c r="O205" i="19"/>
  <c r="L206" i="19"/>
  <c r="M206" i="19"/>
  <c r="O206" i="19"/>
  <c r="L207" i="19"/>
  <c r="M207" i="19"/>
  <c r="O207" i="19"/>
  <c r="L208" i="19"/>
  <c r="M208" i="19"/>
  <c r="O208" i="19"/>
  <c r="L209" i="19"/>
  <c r="M209" i="19"/>
  <c r="O209" i="19"/>
  <c r="L210" i="19"/>
  <c r="M210" i="19"/>
  <c r="O210" i="19"/>
  <c r="L211" i="19"/>
  <c r="M211" i="19"/>
  <c r="O211" i="19"/>
  <c r="L212" i="19"/>
  <c r="M212" i="19"/>
  <c r="O212" i="19"/>
  <c r="L213" i="19"/>
  <c r="M213" i="19"/>
  <c r="O213" i="19"/>
  <c r="L214" i="19"/>
  <c r="M214" i="19"/>
  <c r="O214" i="19"/>
  <c r="L215" i="19"/>
  <c r="M215" i="19"/>
  <c r="O215" i="19"/>
  <c r="L216" i="19"/>
  <c r="M216" i="19"/>
  <c r="O216" i="19"/>
  <c r="L217" i="19"/>
  <c r="M217" i="19"/>
  <c r="O217" i="19"/>
  <c r="L218" i="19"/>
  <c r="M218" i="19"/>
  <c r="O218" i="19"/>
  <c r="L219" i="19"/>
  <c r="M219" i="19"/>
  <c r="O219" i="19"/>
  <c r="L220" i="19"/>
  <c r="M220" i="19"/>
  <c r="O220" i="19"/>
  <c r="L221" i="19"/>
  <c r="M221" i="19"/>
  <c r="O221" i="19"/>
  <c r="L222" i="19"/>
  <c r="M222" i="19"/>
  <c r="O222" i="19"/>
  <c r="L223" i="19"/>
  <c r="M223" i="19"/>
  <c r="O223" i="19"/>
  <c r="L224" i="19"/>
  <c r="M224" i="19"/>
  <c r="O224" i="19"/>
  <c r="L225" i="19"/>
  <c r="M225" i="19"/>
  <c r="O225" i="19"/>
  <c r="L226" i="19"/>
  <c r="M226" i="19"/>
  <c r="O226" i="19"/>
  <c r="L227" i="19"/>
  <c r="M227" i="19"/>
  <c r="O227" i="19"/>
  <c r="L228" i="19"/>
  <c r="M228" i="19"/>
  <c r="O228" i="19"/>
  <c r="L229" i="19"/>
  <c r="M229" i="19"/>
  <c r="O229" i="19"/>
  <c r="L230" i="19"/>
  <c r="M230" i="19"/>
  <c r="O230" i="19"/>
  <c r="L231" i="19"/>
  <c r="M231" i="19"/>
  <c r="O231" i="19"/>
  <c r="L232" i="19"/>
  <c r="M232" i="19"/>
  <c r="O232" i="19"/>
  <c r="L233" i="19"/>
  <c r="M233" i="19"/>
  <c r="O233" i="19"/>
  <c r="L234" i="19"/>
  <c r="M234" i="19"/>
  <c r="O234" i="19"/>
  <c r="L235" i="19"/>
  <c r="M235" i="19"/>
  <c r="O235" i="19"/>
  <c r="L236" i="19"/>
  <c r="M236" i="19"/>
  <c r="O236" i="19"/>
  <c r="L237" i="19"/>
  <c r="M237" i="19"/>
  <c r="O237" i="19"/>
  <c r="L238" i="19"/>
  <c r="M238" i="19"/>
  <c r="O238" i="19"/>
  <c r="L239" i="19"/>
  <c r="M239" i="19"/>
  <c r="O239" i="19"/>
  <c r="L240" i="19"/>
  <c r="M240" i="19"/>
  <c r="O240" i="19"/>
  <c r="L241" i="19"/>
  <c r="M241" i="19"/>
  <c r="O241" i="19"/>
  <c r="L242" i="19"/>
  <c r="M242" i="19"/>
  <c r="O242" i="19"/>
  <c r="L243" i="19"/>
  <c r="M243" i="19"/>
  <c r="O243" i="19"/>
  <c r="L244" i="19"/>
  <c r="M244" i="19"/>
  <c r="O244" i="19"/>
  <c r="L245" i="19"/>
  <c r="M245" i="19"/>
  <c r="O245" i="19"/>
  <c r="L246" i="19"/>
  <c r="M246" i="19"/>
  <c r="O246" i="19"/>
  <c r="L247" i="19"/>
  <c r="M247" i="19"/>
  <c r="O247" i="19"/>
  <c r="L248" i="19"/>
  <c r="M248" i="19"/>
  <c r="O248" i="19"/>
  <c r="L249" i="19"/>
  <c r="M249" i="19"/>
  <c r="O249" i="19"/>
  <c r="L250" i="19"/>
  <c r="M250" i="19"/>
  <c r="O250" i="19"/>
  <c r="L251" i="19"/>
  <c r="M251" i="19"/>
  <c r="O251" i="19"/>
  <c r="L252" i="19"/>
  <c r="M252" i="19"/>
  <c r="O252" i="19"/>
  <c r="L253" i="19"/>
  <c r="M253" i="19"/>
  <c r="O253" i="19"/>
  <c r="L254" i="19"/>
  <c r="M254" i="19"/>
  <c r="O254" i="19"/>
  <c r="L255" i="19"/>
  <c r="M255" i="19"/>
  <c r="O255" i="19"/>
  <c r="L256" i="19"/>
  <c r="M256" i="19"/>
  <c r="O256" i="19"/>
  <c r="L257" i="19"/>
  <c r="M257" i="19"/>
  <c r="O257" i="19"/>
  <c r="L258" i="19"/>
  <c r="M258" i="19"/>
  <c r="O258" i="19"/>
  <c r="L259" i="19"/>
  <c r="M259" i="19"/>
  <c r="O259" i="19"/>
  <c r="L260" i="19"/>
  <c r="M260" i="19"/>
  <c r="O260" i="19"/>
  <c r="L261" i="19"/>
  <c r="M261" i="19"/>
  <c r="O261" i="19"/>
  <c r="L262" i="19"/>
  <c r="M262" i="19"/>
  <c r="O262" i="19"/>
  <c r="L263" i="19"/>
  <c r="M263" i="19"/>
  <c r="O263" i="19"/>
  <c r="L264" i="19"/>
  <c r="M264" i="19"/>
  <c r="O264" i="19"/>
  <c r="L265" i="19"/>
  <c r="M265" i="19"/>
  <c r="O265" i="19"/>
  <c r="D5" i="19"/>
  <c r="E5" i="19"/>
  <c r="D6" i="19"/>
  <c r="E6" i="19"/>
  <c r="D7" i="19"/>
  <c r="E7" i="19"/>
  <c r="D8" i="19"/>
  <c r="E8" i="19"/>
  <c r="D9" i="19"/>
  <c r="E9" i="19"/>
  <c r="D10" i="19"/>
  <c r="E10" i="19"/>
  <c r="D11" i="19"/>
  <c r="E11" i="19"/>
  <c r="D12" i="19"/>
  <c r="E12" i="19"/>
  <c r="D13" i="19"/>
  <c r="E13" i="19"/>
  <c r="D14" i="19"/>
  <c r="E14" i="19"/>
  <c r="D15" i="19"/>
  <c r="E15" i="19"/>
  <c r="D16" i="19"/>
  <c r="E16" i="19"/>
  <c r="D17" i="19"/>
  <c r="E17" i="19"/>
  <c r="D18" i="19"/>
  <c r="E18" i="19"/>
  <c r="D19" i="19"/>
  <c r="E19" i="19"/>
  <c r="D20" i="19"/>
  <c r="E20" i="19"/>
  <c r="D21" i="19"/>
  <c r="E21" i="19"/>
  <c r="D22" i="19"/>
  <c r="E22" i="19"/>
  <c r="D23" i="19"/>
  <c r="E23" i="19"/>
  <c r="D24" i="19"/>
  <c r="E24" i="19"/>
  <c r="D25" i="19"/>
  <c r="E25" i="19"/>
  <c r="D26" i="19"/>
  <c r="E26" i="19"/>
  <c r="D27" i="19"/>
  <c r="E27" i="19"/>
  <c r="D28" i="19"/>
  <c r="E28" i="19"/>
  <c r="D29" i="19"/>
  <c r="E29" i="19"/>
  <c r="D30" i="19"/>
  <c r="E30" i="19"/>
  <c r="D31" i="19"/>
  <c r="E31" i="19"/>
  <c r="D32" i="19"/>
  <c r="E32" i="19"/>
  <c r="D33" i="19"/>
  <c r="E33" i="19"/>
  <c r="D34" i="19"/>
  <c r="E34" i="19"/>
  <c r="D35" i="19"/>
  <c r="E35" i="19"/>
  <c r="D36" i="19"/>
  <c r="E36" i="19"/>
  <c r="D37" i="19"/>
  <c r="E37" i="19"/>
  <c r="D38" i="19"/>
  <c r="E38" i="19"/>
  <c r="D39" i="19"/>
  <c r="E39" i="19"/>
  <c r="D40" i="19"/>
  <c r="E40" i="19"/>
  <c r="D41" i="19"/>
  <c r="E41" i="19"/>
  <c r="D42" i="19"/>
  <c r="E42" i="19"/>
  <c r="D43" i="19"/>
  <c r="E43" i="19"/>
  <c r="D44" i="19"/>
  <c r="E44" i="19"/>
  <c r="D45" i="19"/>
  <c r="E45" i="19"/>
  <c r="D46" i="19"/>
  <c r="E46" i="19"/>
  <c r="D47" i="19"/>
  <c r="E47" i="19"/>
  <c r="D48" i="19"/>
  <c r="E48" i="19"/>
  <c r="D49" i="19"/>
  <c r="E49" i="19"/>
  <c r="D50" i="19"/>
  <c r="E50" i="19"/>
  <c r="D51" i="19"/>
  <c r="E51" i="19"/>
  <c r="D52" i="19"/>
  <c r="E52" i="19"/>
  <c r="D53" i="19"/>
  <c r="E53" i="19"/>
  <c r="D54" i="19"/>
  <c r="E54" i="19"/>
  <c r="D55" i="19"/>
  <c r="E55" i="19"/>
  <c r="D56" i="19"/>
  <c r="E56" i="19"/>
  <c r="D57" i="19"/>
  <c r="E57" i="19"/>
  <c r="D58" i="19"/>
  <c r="E58" i="19"/>
  <c r="D59" i="19"/>
  <c r="E59" i="19"/>
  <c r="D60" i="19"/>
  <c r="E60" i="19"/>
  <c r="D61" i="19"/>
  <c r="E61" i="19"/>
  <c r="D62" i="19"/>
  <c r="E62" i="19"/>
  <c r="D63" i="19"/>
  <c r="E63" i="19"/>
  <c r="D64" i="19"/>
  <c r="E64" i="19"/>
  <c r="D65" i="19"/>
  <c r="E65" i="19"/>
  <c r="D66" i="19"/>
  <c r="E66" i="19"/>
  <c r="D67" i="19"/>
  <c r="E67" i="19"/>
  <c r="D68" i="19"/>
  <c r="E68" i="19"/>
  <c r="D69" i="19"/>
  <c r="E69" i="19"/>
  <c r="D70" i="19"/>
  <c r="E70" i="19"/>
  <c r="D71" i="19"/>
  <c r="E71" i="19"/>
  <c r="D72" i="19"/>
  <c r="E72" i="19"/>
  <c r="D73" i="19"/>
  <c r="E73" i="19"/>
  <c r="D74" i="19"/>
  <c r="E74" i="19"/>
  <c r="D75" i="19"/>
  <c r="E75" i="19"/>
  <c r="D76" i="19"/>
  <c r="E76" i="19"/>
  <c r="D77" i="19"/>
  <c r="E77" i="19"/>
  <c r="D78" i="19"/>
  <c r="E78" i="19"/>
  <c r="D79" i="19"/>
  <c r="E79" i="19"/>
  <c r="D80" i="19"/>
  <c r="E80" i="19"/>
  <c r="D81" i="19"/>
  <c r="E81" i="19"/>
  <c r="D82" i="19"/>
  <c r="E82" i="19"/>
  <c r="D83" i="19"/>
  <c r="E83" i="19"/>
  <c r="D84" i="19"/>
  <c r="E84" i="19"/>
  <c r="D85" i="19"/>
  <c r="E85" i="19"/>
  <c r="D86" i="19"/>
  <c r="E86" i="19"/>
  <c r="D87" i="19"/>
  <c r="E87" i="19"/>
  <c r="D88" i="19"/>
  <c r="E88" i="19"/>
  <c r="D89" i="19"/>
  <c r="E89" i="19"/>
  <c r="D90" i="19"/>
  <c r="E90" i="19"/>
  <c r="D91" i="19"/>
  <c r="E91" i="19"/>
  <c r="D92" i="19"/>
  <c r="E92" i="19"/>
  <c r="D93" i="19"/>
  <c r="E93" i="19"/>
  <c r="D94" i="19"/>
  <c r="E94" i="19"/>
  <c r="D95" i="19"/>
  <c r="E95" i="19"/>
  <c r="D96" i="19"/>
  <c r="E96" i="19"/>
  <c r="D97" i="19"/>
  <c r="E97" i="19"/>
  <c r="D98" i="19"/>
  <c r="E98" i="19"/>
  <c r="D99" i="19"/>
  <c r="E99" i="19"/>
  <c r="D100" i="19"/>
  <c r="E100" i="19"/>
  <c r="D101" i="19"/>
  <c r="E101" i="19"/>
  <c r="D102" i="19"/>
  <c r="E102" i="19"/>
  <c r="D103" i="19"/>
  <c r="E103" i="19"/>
  <c r="D104" i="19"/>
  <c r="E104" i="19"/>
  <c r="D105" i="19"/>
  <c r="E105" i="19"/>
  <c r="D106" i="19"/>
  <c r="E106" i="19"/>
  <c r="D107" i="19"/>
  <c r="E107" i="19"/>
  <c r="D108" i="19"/>
  <c r="E108" i="19"/>
  <c r="D109" i="19"/>
  <c r="E109" i="19"/>
  <c r="D110" i="19"/>
  <c r="E110" i="19"/>
  <c r="D111" i="19"/>
  <c r="E111" i="19"/>
  <c r="D112" i="19"/>
  <c r="E112" i="19"/>
  <c r="D113" i="19"/>
  <c r="E113" i="19"/>
  <c r="D114" i="19"/>
  <c r="E114" i="19"/>
  <c r="D115" i="19"/>
  <c r="E115" i="19"/>
  <c r="D116" i="19"/>
  <c r="E116" i="19"/>
  <c r="D117" i="19"/>
  <c r="E117" i="19"/>
  <c r="D118" i="19"/>
  <c r="E118" i="19"/>
  <c r="D119" i="19"/>
  <c r="E119" i="19"/>
  <c r="D120" i="19"/>
  <c r="E120" i="19"/>
  <c r="D121" i="19"/>
  <c r="E121" i="19"/>
  <c r="D122" i="19"/>
  <c r="E122" i="19"/>
  <c r="D123" i="19"/>
  <c r="E123" i="19"/>
  <c r="D124" i="19"/>
  <c r="E124" i="19"/>
  <c r="D125" i="19"/>
  <c r="E125" i="19"/>
  <c r="D126" i="19"/>
  <c r="E126" i="19"/>
  <c r="D127" i="19"/>
  <c r="E127" i="19"/>
  <c r="D128" i="19"/>
  <c r="E128" i="19"/>
  <c r="D129" i="19"/>
  <c r="E129" i="19"/>
  <c r="D130" i="19"/>
  <c r="E130" i="19"/>
  <c r="D131" i="19"/>
  <c r="E131" i="19"/>
  <c r="D132" i="19"/>
  <c r="E132" i="19"/>
  <c r="D133" i="19"/>
  <c r="E133" i="19"/>
  <c r="D134" i="19"/>
  <c r="E134" i="19"/>
  <c r="D135" i="19"/>
  <c r="E135" i="19"/>
  <c r="D136" i="19"/>
  <c r="E136" i="19"/>
  <c r="D137" i="19"/>
  <c r="E137" i="19"/>
  <c r="D138" i="19"/>
  <c r="E138" i="19"/>
  <c r="D139" i="19"/>
  <c r="E139" i="19"/>
  <c r="D140" i="19"/>
  <c r="E140" i="19"/>
  <c r="D141" i="19"/>
  <c r="E141" i="19"/>
  <c r="D142" i="19"/>
  <c r="E142" i="19"/>
  <c r="D143" i="19"/>
  <c r="E143" i="19"/>
  <c r="D144" i="19"/>
  <c r="E144" i="19"/>
  <c r="D145" i="19"/>
  <c r="E145" i="19"/>
  <c r="D146" i="19"/>
  <c r="E146" i="19"/>
  <c r="D147" i="19"/>
  <c r="E147" i="19"/>
  <c r="D148" i="19"/>
  <c r="E148" i="19"/>
  <c r="D149" i="19"/>
  <c r="E149" i="19"/>
  <c r="D150" i="19"/>
  <c r="E150" i="19"/>
  <c r="D151" i="19"/>
  <c r="E151" i="19"/>
  <c r="D152" i="19"/>
  <c r="E152" i="19"/>
  <c r="D153" i="19"/>
  <c r="E153" i="19"/>
  <c r="D154" i="19"/>
  <c r="E154" i="19"/>
  <c r="D155" i="19"/>
  <c r="E155" i="19"/>
  <c r="D156" i="19"/>
  <c r="E156" i="19"/>
  <c r="D157" i="19"/>
  <c r="E157" i="19"/>
  <c r="D158" i="19"/>
  <c r="E158" i="19"/>
  <c r="D159" i="19"/>
  <c r="E159" i="19"/>
  <c r="D160" i="19"/>
  <c r="E160" i="19"/>
  <c r="D161" i="19"/>
  <c r="E161" i="19"/>
  <c r="D162" i="19"/>
  <c r="E162" i="19"/>
  <c r="D163" i="19"/>
  <c r="E163" i="19"/>
  <c r="D164" i="19"/>
  <c r="E164" i="19"/>
  <c r="D165" i="19"/>
  <c r="E165" i="19"/>
  <c r="D166" i="19"/>
  <c r="E166" i="19"/>
  <c r="D167" i="19"/>
  <c r="E167" i="19"/>
  <c r="D168" i="19"/>
  <c r="E168" i="19"/>
  <c r="D169" i="19"/>
  <c r="E169" i="19"/>
  <c r="D170" i="19"/>
  <c r="E170" i="19"/>
  <c r="D171" i="19"/>
  <c r="E171" i="19"/>
  <c r="D172" i="19"/>
  <c r="E172" i="19"/>
  <c r="D173" i="19"/>
  <c r="E173" i="19"/>
  <c r="D174" i="19"/>
  <c r="E174" i="19"/>
  <c r="D175" i="19"/>
  <c r="E175" i="19"/>
  <c r="D176" i="19"/>
  <c r="E176" i="19"/>
  <c r="D177" i="19"/>
  <c r="E177" i="19"/>
  <c r="D178" i="19"/>
  <c r="E178" i="19"/>
  <c r="D179" i="19"/>
  <c r="E179" i="19"/>
  <c r="D180" i="19"/>
  <c r="E180" i="19"/>
  <c r="D181" i="19"/>
  <c r="E181" i="19"/>
  <c r="D182" i="19"/>
  <c r="E182" i="19"/>
  <c r="D183" i="19"/>
  <c r="E183" i="19"/>
  <c r="D184" i="19"/>
  <c r="E184" i="19"/>
  <c r="D185" i="19"/>
  <c r="E185" i="19"/>
  <c r="D186" i="19"/>
  <c r="E186" i="19"/>
  <c r="D187" i="19"/>
  <c r="E187" i="19"/>
  <c r="D188" i="19"/>
  <c r="E188" i="19"/>
  <c r="D189" i="19"/>
  <c r="E189" i="19"/>
  <c r="D190" i="19"/>
  <c r="E190" i="19"/>
  <c r="D191" i="19"/>
  <c r="E191" i="19"/>
  <c r="D192" i="19"/>
  <c r="E192" i="19"/>
  <c r="D193" i="19"/>
  <c r="E193" i="19"/>
  <c r="D194" i="19"/>
  <c r="E194" i="19"/>
  <c r="D195" i="19"/>
  <c r="E195" i="19"/>
  <c r="D196" i="19"/>
  <c r="E196" i="19"/>
  <c r="D197" i="19"/>
  <c r="E197" i="19"/>
  <c r="D198" i="19"/>
  <c r="E198" i="19"/>
  <c r="D199" i="19"/>
  <c r="E199" i="19"/>
  <c r="D200" i="19"/>
  <c r="E200" i="19"/>
  <c r="D201" i="19"/>
  <c r="E201" i="19"/>
  <c r="D202" i="19"/>
  <c r="E202" i="19"/>
  <c r="D203" i="19"/>
  <c r="E203" i="19"/>
  <c r="D204" i="19"/>
  <c r="E204" i="19"/>
  <c r="D205" i="19"/>
  <c r="E205" i="19"/>
  <c r="D206" i="19"/>
  <c r="E206" i="19"/>
  <c r="D207" i="19"/>
  <c r="E207" i="19"/>
  <c r="D208" i="19"/>
  <c r="E208" i="19"/>
  <c r="D209" i="19"/>
  <c r="E209" i="19"/>
  <c r="D210" i="19"/>
  <c r="E210" i="19"/>
  <c r="D211" i="19"/>
  <c r="E211" i="19"/>
  <c r="D212" i="19"/>
  <c r="E212" i="19"/>
  <c r="D213" i="19"/>
  <c r="E213" i="19"/>
  <c r="D214" i="19"/>
  <c r="E214" i="19"/>
  <c r="D215" i="19"/>
  <c r="E215" i="19"/>
  <c r="D216" i="19"/>
  <c r="E216" i="19"/>
  <c r="D217" i="19"/>
  <c r="E217" i="19"/>
  <c r="D218" i="19"/>
  <c r="E218" i="19"/>
  <c r="D219" i="19"/>
  <c r="E219" i="19"/>
  <c r="D220" i="19"/>
  <c r="E220" i="19"/>
  <c r="D221" i="19"/>
  <c r="E221" i="19"/>
  <c r="D222" i="19"/>
  <c r="E222" i="19"/>
  <c r="D223" i="19"/>
  <c r="E223" i="19"/>
  <c r="D224" i="19"/>
  <c r="E224" i="19"/>
  <c r="D225" i="19"/>
  <c r="E225" i="19"/>
  <c r="D226" i="19"/>
  <c r="E226" i="19"/>
  <c r="D227" i="19"/>
  <c r="E227" i="19"/>
  <c r="D228" i="19"/>
  <c r="E228" i="19"/>
  <c r="D229" i="19"/>
  <c r="E229" i="19"/>
  <c r="D230" i="19"/>
  <c r="E230" i="19"/>
  <c r="D231" i="19"/>
  <c r="E231" i="19"/>
  <c r="D232" i="19"/>
  <c r="E232" i="19"/>
  <c r="D233" i="19"/>
  <c r="E233" i="19"/>
  <c r="D234" i="19"/>
  <c r="E234" i="19"/>
  <c r="D235" i="19"/>
  <c r="E235" i="19"/>
  <c r="D236" i="19"/>
  <c r="E236" i="19"/>
  <c r="D237" i="19"/>
  <c r="E237" i="19"/>
  <c r="D238" i="19"/>
  <c r="E238" i="19"/>
  <c r="D239" i="19"/>
  <c r="E239" i="19"/>
  <c r="D240" i="19"/>
  <c r="E240" i="19"/>
  <c r="D241" i="19"/>
  <c r="E241" i="19"/>
  <c r="D242" i="19"/>
  <c r="E242" i="19"/>
  <c r="D243" i="19"/>
  <c r="E243" i="19"/>
  <c r="D244" i="19"/>
  <c r="E244" i="19"/>
  <c r="D245" i="19"/>
  <c r="E245" i="19"/>
  <c r="D246" i="19"/>
  <c r="E246" i="19"/>
  <c r="D247" i="19"/>
  <c r="E247" i="19"/>
  <c r="D248" i="19"/>
  <c r="E248" i="19"/>
  <c r="D249" i="19"/>
  <c r="E249" i="19"/>
  <c r="D250" i="19"/>
  <c r="E250" i="19"/>
  <c r="D251" i="19"/>
  <c r="E251" i="19"/>
  <c r="D252" i="19"/>
  <c r="E252" i="19"/>
  <c r="D253" i="19"/>
  <c r="E253" i="19"/>
  <c r="D254" i="19"/>
  <c r="E254" i="19"/>
  <c r="D255" i="19"/>
  <c r="E255" i="19"/>
  <c r="D256" i="19"/>
  <c r="E256" i="19"/>
  <c r="D257" i="19"/>
  <c r="E257" i="19"/>
  <c r="D258" i="19"/>
  <c r="E258" i="19"/>
  <c r="D259" i="19"/>
  <c r="E259" i="19"/>
  <c r="D260" i="19"/>
  <c r="E260" i="19"/>
  <c r="D261" i="19"/>
  <c r="E261" i="19"/>
  <c r="D262" i="19"/>
  <c r="E262" i="19"/>
  <c r="D263" i="19"/>
  <c r="E263" i="19"/>
  <c r="D264" i="19"/>
  <c r="E264" i="19"/>
  <c r="D265" i="19"/>
  <c r="E265" i="19"/>
  <c r="D4" i="19"/>
  <c r="E4" i="19"/>
  <c r="M4" i="19"/>
  <c r="L4" i="19"/>
  <c r="E4" i="18"/>
  <c r="K4" i="17"/>
  <c r="E4" i="17" s="1"/>
  <c r="N479" i="17" l="1"/>
  <c r="N449" i="17"/>
  <c r="N526" i="17"/>
  <c r="N334" i="17"/>
  <c r="N328" i="17"/>
  <c r="N337" i="17"/>
  <c r="N392" i="17"/>
  <c r="N483" i="17"/>
  <c r="N527" i="17"/>
  <c r="N409" i="17"/>
  <c r="N352" i="17"/>
  <c r="N395" i="17"/>
  <c r="N456" i="17"/>
  <c r="N280" i="17"/>
  <c r="N407" i="17"/>
  <c r="N519" i="17"/>
  <c r="N371" i="17"/>
  <c r="N459" i="17"/>
  <c r="N491" i="17"/>
  <c r="N431" i="17"/>
  <c r="N343" i="17"/>
  <c r="N402" i="17"/>
  <c r="N416" i="17"/>
  <c r="N463" i="17"/>
  <c r="N471" i="17"/>
  <c r="N487" i="17"/>
  <c r="N495" i="17"/>
  <c r="N510" i="17"/>
  <c r="N296" i="17"/>
  <c r="N310" i="17"/>
  <c r="N455" i="17"/>
  <c r="N346" i="17"/>
  <c r="N423" i="17"/>
  <c r="N399" i="17"/>
  <c r="N274" i="17"/>
  <c r="N287" i="17"/>
  <c r="N447" i="17"/>
  <c r="N406" i="17"/>
  <c r="N439" i="17"/>
  <c r="N383" i="17"/>
  <c r="N319" i="17"/>
  <c r="N511" i="17"/>
  <c r="N378" i="17"/>
  <c r="N467" i="17"/>
  <c r="N475" i="17"/>
  <c r="N502" i="17"/>
  <c r="N518" i="17"/>
  <c r="N342" i="17"/>
  <c r="N278" i="17"/>
  <c r="N283" i="17"/>
  <c r="N330" i="17"/>
  <c r="N415" i="17"/>
  <c r="N391" i="17"/>
  <c r="N351" i="17"/>
  <c r="N385" i="17"/>
  <c r="N359" i="17"/>
  <c r="N339" i="17"/>
  <c r="N375" i="17"/>
  <c r="N503" i="17"/>
  <c r="N435" i="17"/>
  <c r="N367" i="17"/>
  <c r="L257" i="17"/>
  <c r="M196" i="17"/>
  <c r="O192" i="17"/>
  <c r="M172" i="17"/>
  <c r="M141" i="17"/>
  <c r="N141" i="17" s="1"/>
  <c r="O113" i="17"/>
  <c r="N113" i="17" s="1"/>
  <c r="L83" i="17"/>
  <c r="L31" i="17"/>
  <c r="M255" i="17"/>
  <c r="N255" i="17" s="1"/>
  <c r="O208" i="17"/>
  <c r="M164" i="17"/>
  <c r="L145" i="17"/>
  <c r="M140" i="17"/>
  <c r="L130" i="17"/>
  <c r="L122" i="17"/>
  <c r="O259" i="17"/>
  <c r="N259" i="17" s="1"/>
  <c r="L259" i="17"/>
  <c r="M239" i="17"/>
  <c r="N239" i="17" s="1"/>
  <c r="M217" i="17"/>
  <c r="O211" i="17"/>
  <c r="N211" i="17" s="1"/>
  <c r="M197" i="17"/>
  <c r="N197" i="17" s="1"/>
  <c r="L154" i="17"/>
  <c r="O148" i="17"/>
  <c r="N148" i="17" s="1"/>
  <c r="M125" i="17"/>
  <c r="N125" i="17" s="1"/>
  <c r="O121" i="17"/>
  <c r="N121" i="17" s="1"/>
  <c r="M99" i="17"/>
  <c r="M92" i="17"/>
  <c r="O172" i="17"/>
  <c r="L265" i="17"/>
  <c r="L247" i="17"/>
  <c r="M242" i="17"/>
  <c r="M238" i="17"/>
  <c r="O223" i="17"/>
  <c r="N223" i="17" s="1"/>
  <c r="L199" i="17"/>
  <c r="O196" i="17"/>
  <c r="L183" i="17"/>
  <c r="L179" i="17"/>
  <c r="O174" i="17"/>
  <c r="N174" i="17" s="1"/>
  <c r="M160" i="17"/>
  <c r="O144" i="17"/>
  <c r="L137" i="17"/>
  <c r="O124" i="17"/>
  <c r="N124" i="17" s="1"/>
  <c r="L107" i="17"/>
  <c r="M98" i="17"/>
  <c r="L19" i="17"/>
  <c r="M247" i="17"/>
  <c r="N247" i="17" s="1"/>
  <c r="O242" i="17"/>
  <c r="O179" i="17"/>
  <c r="N179" i="17" s="1"/>
  <c r="O160" i="17"/>
  <c r="O137" i="17"/>
  <c r="N137" i="17" s="1"/>
  <c r="M107" i="17"/>
  <c r="N107" i="17" s="1"/>
  <c r="O98" i="17"/>
  <c r="M19" i="17"/>
  <c r="L79" i="17"/>
  <c r="O74" i="17"/>
  <c r="O69" i="17"/>
  <c r="M258" i="17"/>
  <c r="M254" i="17"/>
  <c r="L231" i="17"/>
  <c r="M222" i="17"/>
  <c r="O217" i="17"/>
  <c r="L213" i="17"/>
  <c r="O209" i="17"/>
  <c r="N209" i="17" s="1"/>
  <c r="L201" i="17"/>
  <c r="L185" i="17"/>
  <c r="L181" i="17"/>
  <c r="L177" i="17"/>
  <c r="L173" i="17"/>
  <c r="M169" i="17"/>
  <c r="N169" i="17" s="1"/>
  <c r="O164" i="17"/>
  <c r="M161" i="17"/>
  <c r="N161" i="17" s="1"/>
  <c r="L158" i="17"/>
  <c r="L142" i="17"/>
  <c r="O126" i="17"/>
  <c r="N126" i="17" s="1"/>
  <c r="M108" i="17"/>
  <c r="L87" i="17"/>
  <c r="O83" i="17"/>
  <c r="N83" i="17" s="1"/>
  <c r="L75" i="17"/>
  <c r="M70" i="17"/>
  <c r="O57" i="17"/>
  <c r="O258" i="17"/>
  <c r="M231" i="17"/>
  <c r="N231" i="17" s="1"/>
  <c r="M185" i="17"/>
  <c r="N185" i="17" s="1"/>
  <c r="M173" i="17"/>
  <c r="N173" i="17" s="1"/>
  <c r="O158" i="17"/>
  <c r="N158" i="17" s="1"/>
  <c r="O142" i="17"/>
  <c r="N142" i="17" s="1"/>
  <c r="O108" i="17"/>
  <c r="M87" i="17"/>
  <c r="N87" i="17" s="1"/>
  <c r="O75" i="17"/>
  <c r="N75" i="17" s="1"/>
  <c r="O70" i="17"/>
  <c r="L255" i="17"/>
  <c r="M250" i="17"/>
  <c r="N250" i="17" s="1"/>
  <c r="M246" i="17"/>
  <c r="M210" i="17"/>
  <c r="N210" i="17" s="1"/>
  <c r="L198" i="17"/>
  <c r="L182" i="17"/>
  <c r="L178" i="17"/>
  <c r="L170" i="17"/>
  <c r="L146" i="17"/>
  <c r="L91" i="17"/>
  <c r="O80" i="17"/>
  <c r="N80" i="17" s="1"/>
  <c r="M66" i="17"/>
  <c r="M51" i="17"/>
  <c r="N51" i="17" s="1"/>
  <c r="L47" i="17"/>
  <c r="M22" i="17"/>
  <c r="M18" i="17"/>
  <c r="N265" i="18"/>
  <c r="N257" i="18"/>
  <c r="N249" i="18"/>
  <c r="N241" i="18"/>
  <c r="N233" i="18"/>
  <c r="N225" i="18"/>
  <c r="N217" i="18"/>
  <c r="N209" i="18"/>
  <c r="N201" i="18"/>
  <c r="N193" i="18"/>
  <c r="N185" i="18"/>
  <c r="N177" i="18"/>
  <c r="N169" i="18"/>
  <c r="N161" i="18"/>
  <c r="N153" i="18"/>
  <c r="N145" i="18"/>
  <c r="N137" i="18"/>
  <c r="N129" i="18"/>
  <c r="N195" i="19"/>
  <c r="N187" i="19"/>
  <c r="N179" i="19"/>
  <c r="N171" i="19"/>
  <c r="N163" i="19"/>
  <c r="N155" i="19"/>
  <c r="N147" i="19"/>
  <c r="N139" i="19"/>
  <c r="N131" i="19"/>
  <c r="N99" i="19"/>
  <c r="N91" i="19"/>
  <c r="N259" i="19"/>
  <c r="N235" i="19"/>
  <c r="N227" i="19"/>
  <c r="N211" i="19"/>
  <c r="N251" i="19"/>
  <c r="N243" i="19"/>
  <c r="N219" i="19"/>
  <c r="N203" i="19"/>
  <c r="N263" i="18"/>
  <c r="N255" i="18"/>
  <c r="N247" i="18"/>
  <c r="N239" i="18"/>
  <c r="N231" i="18"/>
  <c r="N223" i="18"/>
  <c r="N215" i="18"/>
  <c r="N207" i="18"/>
  <c r="N199" i="18"/>
  <c r="N191" i="18"/>
  <c r="N183" i="18"/>
  <c r="N175" i="18"/>
  <c r="N167" i="18"/>
  <c r="N159" i="18"/>
  <c r="N151" i="18"/>
  <c r="N143" i="18"/>
  <c r="N135" i="18"/>
  <c r="N127" i="18"/>
  <c r="M71" i="17"/>
  <c r="N71" i="17" s="1"/>
  <c r="O263" i="17"/>
  <c r="O251" i="17"/>
  <c r="O243" i="17"/>
  <c r="O235" i="17"/>
  <c r="O227" i="17"/>
  <c r="O189" i="17"/>
  <c r="O165" i="17"/>
  <c r="O149" i="17"/>
  <c r="M144" i="17"/>
  <c r="O133" i="17"/>
  <c r="N132" i="17"/>
  <c r="M128" i="17"/>
  <c r="N128" i="17" s="1"/>
  <c r="L126" i="17"/>
  <c r="L125" i="17"/>
  <c r="O115" i="17"/>
  <c r="O114" i="17"/>
  <c r="N114" i="17" s="1"/>
  <c r="L113" i="17"/>
  <c r="L112" i="17"/>
  <c r="L111" i="17"/>
  <c r="O109" i="17"/>
  <c r="N109" i="17" s="1"/>
  <c r="L99" i="17"/>
  <c r="O96" i="17"/>
  <c r="O95" i="17"/>
  <c r="O94" i="17"/>
  <c r="O92" i="17"/>
  <c r="M82" i="17"/>
  <c r="N82" i="17" s="1"/>
  <c r="M74" i="17"/>
  <c r="L71" i="17"/>
  <c r="O63" i="17"/>
  <c r="L51" i="17"/>
  <c r="M39" i="17"/>
  <c r="M34" i="17"/>
  <c r="O264" i="17"/>
  <c r="N264" i="17" s="1"/>
  <c r="M263" i="17"/>
  <c r="M251" i="17"/>
  <c r="M243" i="17"/>
  <c r="M235" i="17"/>
  <c r="M234" i="17"/>
  <c r="N234" i="17" s="1"/>
  <c r="M227" i="17"/>
  <c r="M226" i="17"/>
  <c r="N226" i="17" s="1"/>
  <c r="O221" i="17"/>
  <c r="N221" i="17" s="1"/>
  <c r="O213" i="17"/>
  <c r="N213" i="17" s="1"/>
  <c r="O212" i="17"/>
  <c r="L211" i="17"/>
  <c r="O207" i="17"/>
  <c r="N207" i="17" s="1"/>
  <c r="O201" i="17"/>
  <c r="N201" i="17" s="1"/>
  <c r="O194" i="17"/>
  <c r="N194" i="17" s="1"/>
  <c r="O193" i="17"/>
  <c r="N193" i="17" s="1"/>
  <c r="O190" i="17"/>
  <c r="M189" i="17"/>
  <c r="O181" i="17"/>
  <c r="N181" i="17" s="1"/>
  <c r="O180" i="17"/>
  <c r="O177" i="17"/>
  <c r="N177" i="17" s="1"/>
  <c r="O176" i="17"/>
  <c r="M165" i="17"/>
  <c r="O153" i="17"/>
  <c r="N153" i="17" s="1"/>
  <c r="O152" i="17"/>
  <c r="O150" i="17"/>
  <c r="N150" i="17" s="1"/>
  <c r="M149" i="17"/>
  <c r="O136" i="17"/>
  <c r="O134" i="17"/>
  <c r="N134" i="17" s="1"/>
  <c r="M133" i="17"/>
  <c r="O120" i="17"/>
  <c r="O118" i="17"/>
  <c r="N118" i="17" s="1"/>
  <c r="M115" i="17"/>
  <c r="O97" i="17"/>
  <c r="N97" i="17" s="1"/>
  <c r="M96" i="17"/>
  <c r="M95" i="17"/>
  <c r="O78" i="17"/>
  <c r="M63" i="17"/>
  <c r="O54" i="17"/>
  <c r="O265" i="17"/>
  <c r="N265" i="17" s="1"/>
  <c r="L264" i="17"/>
  <c r="O257" i="17"/>
  <c r="N257" i="17" s="1"/>
  <c r="O254" i="17"/>
  <c r="O252" i="17"/>
  <c r="N252" i="17" s="1"/>
  <c r="O246" i="17"/>
  <c r="O244" i="17"/>
  <c r="N244" i="17" s="1"/>
  <c r="O238" i="17"/>
  <c r="O236" i="17"/>
  <c r="N236" i="17" s="1"/>
  <c r="O230" i="17"/>
  <c r="N230" i="17" s="1"/>
  <c r="O228" i="17"/>
  <c r="N228" i="17" s="1"/>
  <c r="O222" i="17"/>
  <c r="M212" i="17"/>
  <c r="N205" i="17"/>
  <c r="O195" i="17"/>
  <c r="N195" i="17" s="1"/>
  <c r="M190" i="17"/>
  <c r="M180" i="17"/>
  <c r="M176" i="17"/>
  <c r="O168" i="17"/>
  <c r="N168" i="17" s="1"/>
  <c r="O166" i="17"/>
  <c r="N166" i="17" s="1"/>
  <c r="O156" i="17"/>
  <c r="N156" i="17" s="1"/>
  <c r="M152" i="17"/>
  <c r="L150" i="17"/>
  <c r="O140" i="17"/>
  <c r="M136" i="17"/>
  <c r="L134" i="17"/>
  <c r="M120" i="17"/>
  <c r="L118" i="17"/>
  <c r="O110" i="17"/>
  <c r="L97" i="17"/>
  <c r="O93" i="17"/>
  <c r="N93" i="17" s="1"/>
  <c r="M78" i="17"/>
  <c r="O73" i="17"/>
  <c r="O66" i="17"/>
  <c r="M54" i="17"/>
  <c r="M50" i="17"/>
  <c r="N264" i="18"/>
  <c r="N256" i="18"/>
  <c r="N248" i="18"/>
  <c r="N240" i="18"/>
  <c r="N232" i="18"/>
  <c r="N224" i="18"/>
  <c r="N216" i="18"/>
  <c r="N208" i="18"/>
  <c r="N200" i="18"/>
  <c r="N192" i="18"/>
  <c r="N184" i="18"/>
  <c r="N176" i="18"/>
  <c r="N168" i="18"/>
  <c r="N160" i="18"/>
  <c r="N152" i="18"/>
  <c r="N144" i="18"/>
  <c r="N136" i="18"/>
  <c r="N128" i="18"/>
  <c r="N120" i="18"/>
  <c r="N112" i="18"/>
  <c r="N104" i="18"/>
  <c r="N96" i="18"/>
  <c r="N204" i="18"/>
  <c r="N196" i="18"/>
  <c r="N188" i="18"/>
  <c r="N180" i="18"/>
  <c r="N172" i="18"/>
  <c r="N164" i="18"/>
  <c r="N156" i="18"/>
  <c r="N148" i="18"/>
  <c r="N140" i="18"/>
  <c r="N132" i="18"/>
  <c r="N124" i="18"/>
  <c r="N116" i="18"/>
  <c r="N100" i="18"/>
  <c r="N92" i="18"/>
  <c r="N264" i="19"/>
  <c r="N256" i="19"/>
  <c r="N248" i="19"/>
  <c r="N240" i="19"/>
  <c r="N232" i="19"/>
  <c r="N224" i="19"/>
  <c r="N216" i="19"/>
  <c r="N208" i="19"/>
  <c r="N200" i="19"/>
  <c r="N192" i="19"/>
  <c r="N184" i="19"/>
  <c r="N176" i="19"/>
  <c r="N168" i="19"/>
  <c r="N160" i="19"/>
  <c r="N152" i="19"/>
  <c r="N144" i="19"/>
  <c r="N136" i="19"/>
  <c r="N128" i="19"/>
  <c r="N120" i="19"/>
  <c r="N112" i="19"/>
  <c r="N104" i="19"/>
  <c r="N96" i="19"/>
  <c r="N123" i="19"/>
  <c r="N115" i="19"/>
  <c r="N107" i="19"/>
  <c r="M46" i="17"/>
  <c r="L43" i="17"/>
  <c r="M58" i="17"/>
  <c r="L55" i="17"/>
  <c r="O49" i="17"/>
  <c r="M43" i="17"/>
  <c r="M26" i="17"/>
  <c r="L23" i="17"/>
  <c r="L67" i="17"/>
  <c r="O61" i="17"/>
  <c r="O58" i="17"/>
  <c r="M55" i="17"/>
  <c r="N55" i="17" s="1"/>
  <c r="M38" i="17"/>
  <c r="L35" i="17"/>
  <c r="M23" i="17"/>
  <c r="M67" i="17"/>
  <c r="N67" i="17" s="1"/>
  <c r="M35" i="17"/>
  <c r="M62" i="17"/>
  <c r="L59" i="17"/>
  <c r="O53" i="17"/>
  <c r="O50" i="17"/>
  <c r="M47" i="17"/>
  <c r="M30" i="17"/>
  <c r="L27" i="17"/>
  <c r="O65" i="17"/>
  <c r="O62" i="17"/>
  <c r="M59" i="17"/>
  <c r="N59" i="17" s="1"/>
  <c r="M42" i="17"/>
  <c r="M27" i="17"/>
  <c r="M10" i="17"/>
  <c r="M14" i="17"/>
  <c r="M6" i="17"/>
  <c r="N260" i="19"/>
  <c r="N252" i="19"/>
  <c r="N244" i="19"/>
  <c r="N236" i="19"/>
  <c r="N228" i="19"/>
  <c r="N220" i="19"/>
  <c r="N212" i="19"/>
  <c r="N204" i="19"/>
  <c r="N196" i="19"/>
  <c r="N188" i="19"/>
  <c r="N180" i="19"/>
  <c r="N172" i="19"/>
  <c r="N164" i="19"/>
  <c r="N156" i="19"/>
  <c r="N260" i="18"/>
  <c r="N252" i="18"/>
  <c r="N244" i="18"/>
  <c r="N236" i="18"/>
  <c r="N228" i="18"/>
  <c r="N220" i="18"/>
  <c r="N212" i="18"/>
  <c r="N108" i="18"/>
  <c r="N261" i="18"/>
  <c r="N253" i="18"/>
  <c r="N245" i="18"/>
  <c r="N237" i="18"/>
  <c r="N229" i="18"/>
  <c r="N221" i="18"/>
  <c r="N213" i="18"/>
  <c r="N205" i="18"/>
  <c r="N197" i="18"/>
  <c r="N189" i="18"/>
  <c r="N181" i="18"/>
  <c r="N173" i="18"/>
  <c r="N165" i="18"/>
  <c r="N157" i="18"/>
  <c r="N149" i="18"/>
  <c r="N141" i="18"/>
  <c r="N133" i="18"/>
  <c r="N125" i="18"/>
  <c r="N91" i="17"/>
  <c r="L7" i="17"/>
  <c r="L11" i="17"/>
  <c r="N262" i="18"/>
  <c r="N254" i="18"/>
  <c r="N246" i="18"/>
  <c r="N238" i="18"/>
  <c r="N230" i="18"/>
  <c r="N222" i="18"/>
  <c r="N214" i="18"/>
  <c r="N206" i="18"/>
  <c r="N198" i="18"/>
  <c r="N190" i="18"/>
  <c r="N182" i="18"/>
  <c r="N174" i="18"/>
  <c r="N166" i="18"/>
  <c r="N158" i="18"/>
  <c r="N150" i="18"/>
  <c r="N142" i="18"/>
  <c r="N134" i="18"/>
  <c r="N126" i="18"/>
  <c r="N118" i="18"/>
  <c r="N110" i="18"/>
  <c r="N102" i="18"/>
  <c r="N94" i="18"/>
  <c r="N111" i="17"/>
  <c r="N265" i="19"/>
  <c r="N257" i="19"/>
  <c r="N249" i="19"/>
  <c r="N241" i="19"/>
  <c r="N233" i="19"/>
  <c r="N225" i="19"/>
  <c r="N217" i="19"/>
  <c r="N209" i="19"/>
  <c r="N201" i="19"/>
  <c r="N193" i="19"/>
  <c r="N185" i="19"/>
  <c r="N177" i="19"/>
  <c r="N169" i="19"/>
  <c r="N161" i="19"/>
  <c r="N153" i="19"/>
  <c r="N145" i="19"/>
  <c r="N137" i="19"/>
  <c r="N129" i="19"/>
  <c r="N121" i="19"/>
  <c r="N113" i="19"/>
  <c r="N105" i="19"/>
  <c r="N97" i="19"/>
  <c r="N148" i="19"/>
  <c r="N140" i="19"/>
  <c r="N132" i="19"/>
  <c r="N124" i="19"/>
  <c r="N116" i="19"/>
  <c r="N108" i="19"/>
  <c r="N100" i="19"/>
  <c r="N92" i="19"/>
  <c r="N258" i="18"/>
  <c r="N250" i="18"/>
  <c r="N242" i="18"/>
  <c r="N234" i="18"/>
  <c r="N226" i="18"/>
  <c r="N218" i="18"/>
  <c r="N210" i="18"/>
  <c r="N202" i="18"/>
  <c r="N194" i="18"/>
  <c r="N186" i="18"/>
  <c r="N178" i="18"/>
  <c r="N170" i="18"/>
  <c r="N162" i="18"/>
  <c r="N154" i="18"/>
  <c r="N146" i="18"/>
  <c r="N138" i="18"/>
  <c r="N130" i="18"/>
  <c r="N122" i="18"/>
  <c r="N114" i="18"/>
  <c r="N106" i="18"/>
  <c r="N98" i="18"/>
  <c r="N90" i="18"/>
  <c r="N259" i="18"/>
  <c r="N251" i="18"/>
  <c r="N243" i="18"/>
  <c r="N235" i="18"/>
  <c r="N227" i="18"/>
  <c r="N219" i="18"/>
  <c r="N211" i="18"/>
  <c r="N203" i="18"/>
  <c r="N195" i="18"/>
  <c r="N187" i="18"/>
  <c r="N179" i="18"/>
  <c r="N171" i="18"/>
  <c r="N163" i="18"/>
  <c r="N155" i="18"/>
  <c r="N147" i="18"/>
  <c r="N139" i="18"/>
  <c r="N131" i="18"/>
  <c r="N191" i="17"/>
  <c r="N262" i="19"/>
  <c r="N254" i="19"/>
  <c r="N246" i="19"/>
  <c r="N238" i="19"/>
  <c r="N230" i="19"/>
  <c r="N222" i="19"/>
  <c r="N214" i="19"/>
  <c r="N206" i="19"/>
  <c r="N198" i="19"/>
  <c r="N190" i="19"/>
  <c r="N182" i="19"/>
  <c r="N174" i="19"/>
  <c r="N166" i="19"/>
  <c r="N158" i="19"/>
  <c r="N150" i="19"/>
  <c r="N142" i="19"/>
  <c r="N134" i="19"/>
  <c r="N126" i="19"/>
  <c r="N118" i="19"/>
  <c r="N110" i="19"/>
  <c r="N102" i="19"/>
  <c r="N94" i="19"/>
  <c r="N83" i="18"/>
  <c r="N75" i="18"/>
  <c r="N67" i="18"/>
  <c r="N263" i="19"/>
  <c r="N255" i="19"/>
  <c r="N247" i="19"/>
  <c r="N239" i="19"/>
  <c r="N231" i="19"/>
  <c r="N223" i="19"/>
  <c r="N215" i="19"/>
  <c r="N207" i="19"/>
  <c r="N199" i="19"/>
  <c r="N191" i="19"/>
  <c r="N183" i="19"/>
  <c r="N175" i="19"/>
  <c r="N167" i="19"/>
  <c r="N159" i="19"/>
  <c r="N151" i="19"/>
  <c r="N143" i="19"/>
  <c r="N135" i="19"/>
  <c r="N127" i="19"/>
  <c r="N119" i="19"/>
  <c r="N111" i="19"/>
  <c r="N103" i="19"/>
  <c r="N95" i="19"/>
  <c r="N258" i="19"/>
  <c r="N250" i="19"/>
  <c r="N242" i="19"/>
  <c r="N234" i="19"/>
  <c r="N226" i="19"/>
  <c r="N218" i="19"/>
  <c r="N210" i="19"/>
  <c r="N202" i="19"/>
  <c r="N194" i="19"/>
  <c r="N186" i="19"/>
  <c r="N178" i="19"/>
  <c r="N170" i="19"/>
  <c r="N162" i="19"/>
  <c r="N154" i="19"/>
  <c r="N146" i="19"/>
  <c r="N138" i="19"/>
  <c r="N130" i="19"/>
  <c r="N122" i="19"/>
  <c r="N114" i="19"/>
  <c r="N106" i="19"/>
  <c r="N98" i="19"/>
  <c r="N90" i="19"/>
  <c r="N87" i="18"/>
  <c r="N79" i="18"/>
  <c r="N71" i="18"/>
  <c r="N63" i="18"/>
  <c r="N261" i="19"/>
  <c r="N253" i="19"/>
  <c r="N245" i="19"/>
  <c r="N237" i="19"/>
  <c r="N229" i="19"/>
  <c r="N221" i="19"/>
  <c r="N213" i="19"/>
  <c r="N205" i="19"/>
  <c r="N197" i="19"/>
  <c r="N189" i="19"/>
  <c r="N181" i="19"/>
  <c r="N173" i="19"/>
  <c r="N165" i="19"/>
  <c r="N157" i="19"/>
  <c r="N149" i="19"/>
  <c r="N141" i="19"/>
  <c r="N133" i="19"/>
  <c r="N125" i="19"/>
  <c r="N117" i="19"/>
  <c r="N109" i="19"/>
  <c r="N101" i="19"/>
  <c r="N93" i="19"/>
  <c r="N89" i="19"/>
  <c r="N81" i="19"/>
  <c r="N73" i="19"/>
  <c r="N65" i="19"/>
  <c r="N57" i="19"/>
  <c r="N49" i="19"/>
  <c r="N41" i="19"/>
  <c r="N33" i="19"/>
  <c r="N25" i="19"/>
  <c r="N123" i="18"/>
  <c r="N115" i="18"/>
  <c r="N107" i="18"/>
  <c r="N99" i="18"/>
  <c r="N91" i="18"/>
  <c r="N145" i="17"/>
  <c r="N121" i="18"/>
  <c r="N113" i="18"/>
  <c r="N105" i="18"/>
  <c r="N97" i="18"/>
  <c r="N85" i="19"/>
  <c r="N77" i="19"/>
  <c r="N69" i="19"/>
  <c r="N61" i="19"/>
  <c r="N53" i="19"/>
  <c r="N45" i="19"/>
  <c r="N37" i="19"/>
  <c r="N29" i="19"/>
  <c r="N119" i="18"/>
  <c r="N111" i="18"/>
  <c r="N103" i="18"/>
  <c r="N95" i="18"/>
  <c r="N117" i="18"/>
  <c r="N109" i="18"/>
  <c r="N101" i="18"/>
  <c r="N93" i="18"/>
  <c r="N99" i="17"/>
  <c r="N129" i="17"/>
  <c r="N112" i="17"/>
  <c r="N79" i="17"/>
  <c r="N87" i="19"/>
  <c r="N83" i="19"/>
  <c r="N79" i="19"/>
  <c r="N75" i="19"/>
  <c r="N71" i="19"/>
  <c r="N67" i="19"/>
  <c r="N63" i="19"/>
  <c r="N59" i="19"/>
  <c r="N55" i="19"/>
  <c r="N51" i="19"/>
  <c r="N47" i="19"/>
  <c r="N43" i="19"/>
  <c r="N39" i="19"/>
  <c r="N35" i="19"/>
  <c r="N31" i="19"/>
  <c r="N27" i="19"/>
  <c r="N23" i="19"/>
  <c r="N89" i="18"/>
  <c r="N85" i="18"/>
  <c r="N81" i="18"/>
  <c r="N77" i="18"/>
  <c r="N73" i="18"/>
  <c r="N69" i="18"/>
  <c r="N65" i="18"/>
  <c r="N61" i="18"/>
  <c r="N57" i="18"/>
  <c r="N53" i="18"/>
  <c r="N49" i="18"/>
  <c r="N45" i="18"/>
  <c r="N41" i="18"/>
  <c r="N37" i="18"/>
  <c r="N33" i="18"/>
  <c r="N206" i="17"/>
  <c r="N157" i="17"/>
  <c r="N103" i="17"/>
  <c r="N59" i="18"/>
  <c r="N55" i="18"/>
  <c r="N51" i="18"/>
  <c r="N47" i="18"/>
  <c r="N43" i="18"/>
  <c r="N39" i="18"/>
  <c r="N35" i="18"/>
  <c r="M203" i="17"/>
  <c r="L203" i="17"/>
  <c r="L186" i="17"/>
  <c r="M186" i="17"/>
  <c r="O186" i="17"/>
  <c r="L175" i="17"/>
  <c r="M175" i="17"/>
  <c r="O175" i="17"/>
  <c r="L159" i="17"/>
  <c r="M159" i="17"/>
  <c r="O159" i="17"/>
  <c r="L127" i="17"/>
  <c r="M127" i="17"/>
  <c r="O127" i="17"/>
  <c r="L106" i="17"/>
  <c r="M106" i="17"/>
  <c r="O106" i="17"/>
  <c r="O262" i="17"/>
  <c r="O260" i="17"/>
  <c r="L252" i="17"/>
  <c r="L249" i="17"/>
  <c r="M249" i="17"/>
  <c r="N249" i="17" s="1"/>
  <c r="L244" i="17"/>
  <c r="L241" i="17"/>
  <c r="M241" i="17"/>
  <c r="N241" i="17" s="1"/>
  <c r="L236" i="17"/>
  <c r="L233" i="17"/>
  <c r="M233" i="17"/>
  <c r="N233" i="17" s="1"/>
  <c r="L228" i="17"/>
  <c r="L225" i="17"/>
  <c r="M225" i="17"/>
  <c r="N225" i="17" s="1"/>
  <c r="M219" i="17"/>
  <c r="N219" i="17" s="1"/>
  <c r="L219" i="17"/>
  <c r="L216" i="17"/>
  <c r="O216" i="17"/>
  <c r="N216" i="17" s="1"/>
  <c r="M214" i="17"/>
  <c r="O214" i="17"/>
  <c r="L135" i="17"/>
  <c r="M135" i="17"/>
  <c r="O135" i="17"/>
  <c r="M260" i="17"/>
  <c r="O248" i="17"/>
  <c r="N248" i="17" s="1"/>
  <c r="O240" i="17"/>
  <c r="N240" i="17" s="1"/>
  <c r="O232" i="17"/>
  <c r="N232" i="17" s="1"/>
  <c r="O224" i="17"/>
  <c r="N224" i="17" s="1"/>
  <c r="L204" i="17"/>
  <c r="M204" i="17"/>
  <c r="N204" i="17" s="1"/>
  <c r="L202" i="17"/>
  <c r="M202" i="17"/>
  <c r="N202" i="17" s="1"/>
  <c r="L188" i="17"/>
  <c r="M188" i="17"/>
  <c r="O188" i="17"/>
  <c r="L167" i="17"/>
  <c r="M167" i="17"/>
  <c r="O167" i="17"/>
  <c r="L143" i="17"/>
  <c r="M143" i="17"/>
  <c r="O143" i="17"/>
  <c r="M101" i="17"/>
  <c r="O101" i="17"/>
  <c r="L101" i="17"/>
  <c r="M262" i="17"/>
  <c r="L261" i="17"/>
  <c r="L256" i="17"/>
  <c r="L253" i="17"/>
  <c r="M253" i="17"/>
  <c r="N253" i="17" s="1"/>
  <c r="L248" i="17"/>
  <c r="L245" i="17"/>
  <c r="M245" i="17"/>
  <c r="N245" i="17" s="1"/>
  <c r="L240" i="17"/>
  <c r="L237" i="17"/>
  <c r="M237" i="17"/>
  <c r="N237" i="17" s="1"/>
  <c r="L232" i="17"/>
  <c r="L229" i="17"/>
  <c r="M229" i="17"/>
  <c r="N229" i="17" s="1"/>
  <c r="L224" i="17"/>
  <c r="L220" i="17"/>
  <c r="M220" i="17"/>
  <c r="N220" i="17" s="1"/>
  <c r="L218" i="17"/>
  <c r="M218" i="17"/>
  <c r="N218" i="17" s="1"/>
  <c r="M215" i="17"/>
  <c r="O215" i="17"/>
  <c r="O203" i="17"/>
  <c r="M187" i="17"/>
  <c r="L187" i="17"/>
  <c r="O187" i="17"/>
  <c r="L151" i="17"/>
  <c r="M151" i="17"/>
  <c r="O151" i="17"/>
  <c r="L119" i="17"/>
  <c r="M119" i="17"/>
  <c r="O119" i="17"/>
  <c r="L104" i="17"/>
  <c r="M104" i="17"/>
  <c r="O104" i="17"/>
  <c r="M117" i="17"/>
  <c r="O117" i="17"/>
  <c r="M89" i="17"/>
  <c r="N89" i="17" s="1"/>
  <c r="L89" i="17"/>
  <c r="L86" i="17"/>
  <c r="O86" i="17"/>
  <c r="N86" i="17" s="1"/>
  <c r="M84" i="17"/>
  <c r="O84" i="17"/>
  <c r="M208" i="17"/>
  <c r="L207" i="17"/>
  <c r="O200" i="17"/>
  <c r="N200" i="17" s="1"/>
  <c r="O199" i="17"/>
  <c r="N199" i="17" s="1"/>
  <c r="O198" i="17"/>
  <c r="N198" i="17" s="1"/>
  <c r="M192" i="17"/>
  <c r="L191" i="17"/>
  <c r="O184" i="17"/>
  <c r="N184" i="17" s="1"/>
  <c r="O183" i="17"/>
  <c r="N183" i="17" s="1"/>
  <c r="O182" i="17"/>
  <c r="N182" i="17" s="1"/>
  <c r="L174" i="17"/>
  <c r="L171" i="17"/>
  <c r="M171" i="17"/>
  <c r="N171" i="17" s="1"/>
  <c r="L166" i="17"/>
  <c r="L163" i="17"/>
  <c r="M163" i="17"/>
  <c r="N163" i="17" s="1"/>
  <c r="L155" i="17"/>
  <c r="M155" i="17"/>
  <c r="N155" i="17" s="1"/>
  <c r="L147" i="17"/>
  <c r="M147" i="17"/>
  <c r="N147" i="17" s="1"/>
  <c r="L139" i="17"/>
  <c r="M139" i="17"/>
  <c r="N139" i="17" s="1"/>
  <c r="L131" i="17"/>
  <c r="M131" i="17"/>
  <c r="N131" i="17" s="1"/>
  <c r="L123" i="17"/>
  <c r="M123" i="17"/>
  <c r="N123" i="17" s="1"/>
  <c r="M105" i="17"/>
  <c r="N105" i="17" s="1"/>
  <c r="L105" i="17"/>
  <c r="L102" i="17"/>
  <c r="O102" i="17"/>
  <c r="N102" i="17" s="1"/>
  <c r="M100" i="17"/>
  <c r="O100" i="17"/>
  <c r="O178" i="17"/>
  <c r="N178" i="17" s="1"/>
  <c r="O170" i="17"/>
  <c r="N170" i="17" s="1"/>
  <c r="O162" i="17"/>
  <c r="N162" i="17" s="1"/>
  <c r="O154" i="17"/>
  <c r="N154" i="17" s="1"/>
  <c r="O146" i="17"/>
  <c r="N146" i="17" s="1"/>
  <c r="O138" i="17"/>
  <c r="N138" i="17" s="1"/>
  <c r="O130" i="17"/>
  <c r="N130" i="17" s="1"/>
  <c r="O122" i="17"/>
  <c r="N122" i="17" s="1"/>
  <c r="M116" i="17"/>
  <c r="O116" i="17"/>
  <c r="L90" i="17"/>
  <c r="M90" i="17"/>
  <c r="N90" i="17" s="1"/>
  <c r="L88" i="17"/>
  <c r="M88" i="17"/>
  <c r="N88" i="17" s="1"/>
  <c r="M85" i="17"/>
  <c r="O85" i="17"/>
  <c r="M76" i="17"/>
  <c r="L76" i="17"/>
  <c r="O76" i="17"/>
  <c r="M110" i="17"/>
  <c r="L109" i="17"/>
  <c r="M94" i="17"/>
  <c r="L93" i="17"/>
  <c r="L80" i="17"/>
  <c r="L77" i="17"/>
  <c r="M77" i="17"/>
  <c r="N77" i="17" s="1"/>
  <c r="L72" i="17"/>
  <c r="M72" i="17"/>
  <c r="N72" i="17" s="1"/>
  <c r="L68" i="17"/>
  <c r="M68" i="17"/>
  <c r="N68" i="17" s="1"/>
  <c r="L64" i="17"/>
  <c r="M64" i="17"/>
  <c r="N64" i="17" s="1"/>
  <c r="L60" i="17"/>
  <c r="M60" i="17"/>
  <c r="N60" i="17" s="1"/>
  <c r="L56" i="17"/>
  <c r="M56" i="17"/>
  <c r="N56" i="17" s="1"/>
  <c r="L52" i="17"/>
  <c r="M52" i="17"/>
  <c r="N52" i="17" s="1"/>
  <c r="L48" i="17"/>
  <c r="M48" i="17"/>
  <c r="L44" i="17"/>
  <c r="M44" i="17"/>
  <c r="L40" i="17"/>
  <c r="M40" i="17"/>
  <c r="L36" i="17"/>
  <c r="M36" i="17"/>
  <c r="L32" i="17"/>
  <c r="M32" i="17"/>
  <c r="L28" i="17"/>
  <c r="M28" i="17"/>
  <c r="L24" i="17"/>
  <c r="M24" i="17"/>
  <c r="L20" i="17"/>
  <c r="M20" i="17"/>
  <c r="L16" i="17"/>
  <c r="M16" i="17"/>
  <c r="L12" i="17"/>
  <c r="M12" i="17"/>
  <c r="L8" i="17"/>
  <c r="M8" i="17"/>
  <c r="L81" i="17"/>
  <c r="M81" i="17"/>
  <c r="N81" i="17" s="1"/>
  <c r="M73" i="17"/>
  <c r="M69" i="17"/>
  <c r="M65" i="17"/>
  <c r="M61" i="17"/>
  <c r="M57" i="17"/>
  <c r="M53" i="17"/>
  <c r="M49" i="17"/>
  <c r="M45" i="17"/>
  <c r="M41" i="17"/>
  <c r="M37" i="17"/>
  <c r="M33" i="17"/>
  <c r="M29" i="17"/>
  <c r="M25" i="17"/>
  <c r="M21" i="17"/>
  <c r="M17" i="17"/>
  <c r="M13" i="17"/>
  <c r="M9" i="17"/>
  <c r="M5" i="17"/>
  <c r="N88" i="18"/>
  <c r="N84" i="18"/>
  <c r="N80" i="18"/>
  <c r="N76" i="18"/>
  <c r="N72" i="18"/>
  <c r="N68" i="18"/>
  <c r="N64" i="18"/>
  <c r="N60" i="18"/>
  <c r="N56" i="18"/>
  <c r="N52" i="18"/>
  <c r="N48" i="18"/>
  <c r="N44" i="18"/>
  <c r="N40" i="18"/>
  <c r="N36" i="18"/>
  <c r="N32" i="18"/>
  <c r="N86" i="18"/>
  <c r="N82" i="18"/>
  <c r="N78" i="18"/>
  <c r="N74" i="18"/>
  <c r="N70" i="18"/>
  <c r="N66" i="18"/>
  <c r="N62" i="18"/>
  <c r="N58" i="18"/>
  <c r="N54" i="18"/>
  <c r="N50" i="18"/>
  <c r="N46" i="18"/>
  <c r="N42" i="18"/>
  <c r="N38" i="18"/>
  <c r="N34" i="18"/>
  <c r="N88" i="19"/>
  <c r="N84" i="19"/>
  <c r="N80" i="19"/>
  <c r="N76" i="19"/>
  <c r="N72" i="19"/>
  <c r="N68" i="19"/>
  <c r="N64" i="19"/>
  <c r="N60" i="19"/>
  <c r="N56" i="19"/>
  <c r="N52" i="19"/>
  <c r="N48" i="19"/>
  <c r="N44" i="19"/>
  <c r="N40" i="19"/>
  <c r="N36" i="19"/>
  <c r="N32" i="19"/>
  <c r="N28" i="19"/>
  <c r="N24" i="19"/>
  <c r="N86" i="19"/>
  <c r="N82" i="19"/>
  <c r="N78" i="19"/>
  <c r="N74" i="19"/>
  <c r="N70" i="19"/>
  <c r="N66" i="19"/>
  <c r="N62" i="19"/>
  <c r="N58" i="19"/>
  <c r="N54" i="19"/>
  <c r="N50" i="19"/>
  <c r="N46" i="19"/>
  <c r="N42" i="19"/>
  <c r="N38" i="19"/>
  <c r="N34" i="19"/>
  <c r="N30" i="19"/>
  <c r="N26" i="19"/>
  <c r="N22" i="19"/>
  <c r="M4" i="18"/>
  <c r="L4" i="18"/>
  <c r="D4" i="18"/>
  <c r="P265" i="19"/>
  <c r="P264" i="19"/>
  <c r="P263" i="19"/>
  <c r="P262" i="19"/>
  <c r="P261" i="19"/>
  <c r="P260" i="19"/>
  <c r="P259" i="19"/>
  <c r="P258" i="19"/>
  <c r="P257" i="19"/>
  <c r="P256" i="19"/>
  <c r="P255" i="19"/>
  <c r="P254" i="19"/>
  <c r="P253" i="19"/>
  <c r="P252" i="19"/>
  <c r="P251" i="19"/>
  <c r="P250" i="19"/>
  <c r="P249" i="19"/>
  <c r="P248" i="19"/>
  <c r="P247" i="19"/>
  <c r="P246" i="19"/>
  <c r="P245" i="19"/>
  <c r="P244" i="19"/>
  <c r="P243" i="19"/>
  <c r="P242" i="19"/>
  <c r="P241" i="19"/>
  <c r="P240" i="19"/>
  <c r="P239" i="19"/>
  <c r="P238" i="19"/>
  <c r="P237" i="19"/>
  <c r="P236" i="19"/>
  <c r="P235" i="19"/>
  <c r="P234" i="19"/>
  <c r="P233" i="19"/>
  <c r="P232" i="19"/>
  <c r="P231" i="19"/>
  <c r="P230" i="19"/>
  <c r="P229" i="19"/>
  <c r="P228" i="19"/>
  <c r="P227" i="19"/>
  <c r="P226" i="19"/>
  <c r="P225" i="19"/>
  <c r="P224" i="19"/>
  <c r="P223" i="19"/>
  <c r="P222" i="19"/>
  <c r="P221" i="19"/>
  <c r="P220" i="19"/>
  <c r="P219" i="19"/>
  <c r="P218" i="19"/>
  <c r="P217" i="19"/>
  <c r="P216" i="19"/>
  <c r="P215" i="19"/>
  <c r="P214" i="19"/>
  <c r="P213" i="19"/>
  <c r="P212" i="19"/>
  <c r="P211" i="19"/>
  <c r="P210" i="19"/>
  <c r="P209" i="19"/>
  <c r="P208" i="19"/>
  <c r="P207" i="19"/>
  <c r="P206" i="19"/>
  <c r="P205" i="19"/>
  <c r="P204" i="19"/>
  <c r="P203" i="19"/>
  <c r="P202" i="19"/>
  <c r="P201" i="19"/>
  <c r="P200" i="19"/>
  <c r="P199" i="19"/>
  <c r="P198" i="19"/>
  <c r="P197" i="19"/>
  <c r="P196" i="19"/>
  <c r="P195" i="19"/>
  <c r="P194" i="19"/>
  <c r="P193" i="19"/>
  <c r="P192" i="19"/>
  <c r="P191" i="19"/>
  <c r="P190" i="19"/>
  <c r="P189" i="19"/>
  <c r="P188" i="19"/>
  <c r="P187" i="19"/>
  <c r="P186" i="19"/>
  <c r="P185" i="19"/>
  <c r="P184" i="19"/>
  <c r="P183" i="19"/>
  <c r="P182" i="19"/>
  <c r="P181" i="19"/>
  <c r="P180" i="19"/>
  <c r="P179" i="19"/>
  <c r="P178" i="19"/>
  <c r="P177" i="19"/>
  <c r="P176" i="19"/>
  <c r="P175" i="19"/>
  <c r="P174" i="19"/>
  <c r="P173" i="19"/>
  <c r="P172" i="19"/>
  <c r="P171" i="19"/>
  <c r="P170" i="19"/>
  <c r="P169" i="19"/>
  <c r="P168" i="19"/>
  <c r="P167" i="19"/>
  <c r="P166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P152" i="19"/>
  <c r="P151" i="19"/>
  <c r="P150" i="19"/>
  <c r="P149" i="19"/>
  <c r="P148" i="19"/>
  <c r="P147" i="19"/>
  <c r="P146" i="19"/>
  <c r="P145" i="19"/>
  <c r="P144" i="19"/>
  <c r="P143" i="19"/>
  <c r="P142" i="19"/>
  <c r="P141" i="19"/>
  <c r="P140" i="19"/>
  <c r="P139" i="19"/>
  <c r="P138" i="19"/>
  <c r="P137" i="19"/>
  <c r="P136" i="19"/>
  <c r="P135" i="19"/>
  <c r="P134" i="19"/>
  <c r="P133" i="19"/>
  <c r="P132" i="19"/>
  <c r="P131" i="19"/>
  <c r="P130" i="19"/>
  <c r="P129" i="19"/>
  <c r="P128" i="19"/>
  <c r="P127" i="19"/>
  <c r="P126" i="19"/>
  <c r="P125" i="19"/>
  <c r="P124" i="19"/>
  <c r="P123" i="19"/>
  <c r="P122" i="19"/>
  <c r="P121" i="19"/>
  <c r="P120" i="19"/>
  <c r="P119" i="19"/>
  <c r="P118" i="19"/>
  <c r="P117" i="19"/>
  <c r="P116" i="19"/>
  <c r="P115" i="19"/>
  <c r="P114" i="19"/>
  <c r="P113" i="19"/>
  <c r="P112" i="19"/>
  <c r="P111" i="19"/>
  <c r="P110" i="19"/>
  <c r="P109" i="19"/>
  <c r="P108" i="19"/>
  <c r="P107" i="19"/>
  <c r="P106" i="19"/>
  <c r="P105" i="19"/>
  <c r="P104" i="19"/>
  <c r="P103" i="19"/>
  <c r="P102" i="19"/>
  <c r="P101" i="19"/>
  <c r="P100" i="19"/>
  <c r="P99" i="19"/>
  <c r="P98" i="19"/>
  <c r="P97" i="19"/>
  <c r="P96" i="19"/>
  <c r="P95" i="19"/>
  <c r="P94" i="19"/>
  <c r="P93" i="19"/>
  <c r="P92" i="19"/>
  <c r="P91" i="19"/>
  <c r="P90" i="19"/>
  <c r="P89" i="19"/>
  <c r="P88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265" i="18"/>
  <c r="P264" i="18"/>
  <c r="P263" i="18"/>
  <c r="P262" i="18"/>
  <c r="P261" i="18"/>
  <c r="P260" i="18"/>
  <c r="P259" i="18"/>
  <c r="P258" i="18"/>
  <c r="P257" i="18"/>
  <c r="P256" i="18"/>
  <c r="P255" i="18"/>
  <c r="P254" i="18"/>
  <c r="P253" i="18"/>
  <c r="P252" i="18"/>
  <c r="P251" i="18"/>
  <c r="P250" i="18"/>
  <c r="P249" i="18"/>
  <c r="P248" i="18"/>
  <c r="P247" i="18"/>
  <c r="P246" i="18"/>
  <c r="P245" i="18"/>
  <c r="P244" i="18"/>
  <c r="P243" i="18"/>
  <c r="P242" i="18"/>
  <c r="P241" i="18"/>
  <c r="P240" i="18"/>
  <c r="P239" i="18"/>
  <c r="P238" i="18"/>
  <c r="P237" i="18"/>
  <c r="P236" i="18"/>
  <c r="P235" i="18"/>
  <c r="P234" i="18"/>
  <c r="P233" i="18"/>
  <c r="P232" i="18"/>
  <c r="P231" i="18"/>
  <c r="P230" i="18"/>
  <c r="P229" i="18"/>
  <c r="P228" i="18"/>
  <c r="P227" i="18"/>
  <c r="P226" i="18"/>
  <c r="P225" i="18"/>
  <c r="P224" i="18"/>
  <c r="P223" i="18"/>
  <c r="P222" i="18"/>
  <c r="P221" i="18"/>
  <c r="P220" i="18"/>
  <c r="P219" i="18"/>
  <c r="P218" i="18"/>
  <c r="P217" i="18"/>
  <c r="P216" i="18"/>
  <c r="P215" i="18"/>
  <c r="P214" i="18"/>
  <c r="P213" i="18"/>
  <c r="P212" i="18"/>
  <c r="P211" i="18"/>
  <c r="P210" i="18"/>
  <c r="P209" i="18"/>
  <c r="P208" i="18"/>
  <c r="P207" i="18"/>
  <c r="P206" i="18"/>
  <c r="P205" i="18"/>
  <c r="P204" i="18"/>
  <c r="P203" i="18"/>
  <c r="P202" i="18"/>
  <c r="P201" i="18"/>
  <c r="P200" i="18"/>
  <c r="P199" i="18"/>
  <c r="P198" i="18"/>
  <c r="P197" i="18"/>
  <c r="P196" i="18"/>
  <c r="P195" i="18"/>
  <c r="P194" i="18"/>
  <c r="P193" i="18"/>
  <c r="P192" i="18"/>
  <c r="P191" i="18"/>
  <c r="P190" i="18"/>
  <c r="P189" i="18"/>
  <c r="P188" i="18"/>
  <c r="P187" i="18"/>
  <c r="P186" i="18"/>
  <c r="P185" i="18"/>
  <c r="P184" i="18"/>
  <c r="P183" i="18"/>
  <c r="P182" i="18"/>
  <c r="P181" i="18"/>
  <c r="P180" i="18"/>
  <c r="P179" i="18"/>
  <c r="P178" i="18"/>
  <c r="P177" i="18"/>
  <c r="P176" i="18"/>
  <c r="P175" i="18"/>
  <c r="P174" i="18"/>
  <c r="P173" i="18"/>
  <c r="P172" i="18"/>
  <c r="P171" i="18"/>
  <c r="P170" i="18"/>
  <c r="P169" i="18"/>
  <c r="P168" i="18"/>
  <c r="P167" i="18"/>
  <c r="P166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P152" i="18"/>
  <c r="P151" i="18"/>
  <c r="P150" i="18"/>
  <c r="P149" i="18"/>
  <c r="P148" i="18"/>
  <c r="P147" i="18"/>
  <c r="P146" i="18"/>
  <c r="P145" i="18"/>
  <c r="P144" i="18"/>
  <c r="P143" i="18"/>
  <c r="P142" i="18"/>
  <c r="P141" i="18"/>
  <c r="P140" i="18"/>
  <c r="P139" i="18"/>
  <c r="P138" i="18"/>
  <c r="P137" i="18"/>
  <c r="P136" i="18"/>
  <c r="P135" i="18"/>
  <c r="P134" i="18"/>
  <c r="P133" i="18"/>
  <c r="P132" i="18"/>
  <c r="P131" i="18"/>
  <c r="P130" i="18"/>
  <c r="P129" i="18"/>
  <c r="P128" i="18"/>
  <c r="P127" i="18"/>
  <c r="P126" i="18"/>
  <c r="P125" i="18"/>
  <c r="P124" i="18"/>
  <c r="P123" i="18"/>
  <c r="P122" i="18"/>
  <c r="P121" i="18"/>
  <c r="P120" i="18"/>
  <c r="P119" i="18"/>
  <c r="P118" i="18"/>
  <c r="P117" i="18"/>
  <c r="P116" i="18"/>
  <c r="P115" i="18"/>
  <c r="P114" i="18"/>
  <c r="P113" i="18"/>
  <c r="P112" i="18"/>
  <c r="P111" i="18"/>
  <c r="P110" i="18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1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8" i="18"/>
  <c r="P77" i="18"/>
  <c r="P76" i="18"/>
  <c r="P75" i="18"/>
  <c r="P74" i="18"/>
  <c r="P73" i="18"/>
  <c r="P72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N172" i="17" l="1"/>
  <c r="N208" i="17"/>
  <c r="N196" i="17"/>
  <c r="N164" i="17"/>
  <c r="N192" i="17"/>
  <c r="N217" i="17"/>
  <c r="N92" i="17"/>
  <c r="N140" i="17"/>
  <c r="N57" i="17"/>
  <c r="N242" i="17"/>
  <c r="N69" i="17"/>
  <c r="N66" i="17"/>
  <c r="N160" i="17"/>
  <c r="N238" i="17"/>
  <c r="N246" i="17"/>
  <c r="N70" i="17"/>
  <c r="N254" i="17"/>
  <c r="N258" i="17"/>
  <c r="N74" i="17"/>
  <c r="N222" i="17"/>
  <c r="N108" i="17"/>
  <c r="N98" i="17"/>
  <c r="N144" i="17"/>
  <c r="N50" i="17"/>
  <c r="N94" i="17"/>
  <c r="N176" i="17"/>
  <c r="N115" i="17"/>
  <c r="N62" i="17"/>
  <c r="N152" i="17"/>
  <c r="N251" i="17"/>
  <c r="N243" i="17"/>
  <c r="N235" i="17"/>
  <c r="N96" i="17"/>
  <c r="N189" i="17"/>
  <c r="N53" i="17"/>
  <c r="N133" i="17"/>
  <c r="N190" i="17"/>
  <c r="N136" i="17"/>
  <c r="N180" i="17"/>
  <c r="N54" i="17"/>
  <c r="N120" i="17"/>
  <c r="N165" i="17"/>
  <c r="N149" i="17"/>
  <c r="N263" i="17"/>
  <c r="N212" i="17"/>
  <c r="N58" i="17"/>
  <c r="N61" i="17"/>
  <c r="N95" i="17"/>
  <c r="N63" i="17"/>
  <c r="N227" i="17"/>
  <c r="N73" i="17"/>
  <c r="N110" i="17"/>
  <c r="N49" i="17"/>
  <c r="N65" i="17"/>
  <c r="N78" i="17"/>
  <c r="N187" i="17"/>
  <c r="N260" i="17"/>
  <c r="N151" i="17"/>
  <c r="N76" i="17"/>
  <c r="N101" i="17"/>
  <c r="N188" i="17"/>
  <c r="N262" i="17"/>
  <c r="N214" i="17"/>
  <c r="N127" i="17"/>
  <c r="N85" i="17"/>
  <c r="N117" i="17"/>
  <c r="N100" i="17"/>
  <c r="N84" i="17"/>
  <c r="N215" i="17"/>
  <c r="N167" i="17"/>
  <c r="N135" i="17"/>
  <c r="N116" i="17"/>
  <c r="N104" i="17"/>
  <c r="N175" i="17"/>
  <c r="N186" i="17"/>
  <c r="N203" i="17"/>
  <c r="N119" i="17"/>
  <c r="N143" i="17"/>
  <c r="N106" i="17"/>
  <c r="N159" i="17"/>
  <c r="J2" i="17"/>
  <c r="J2" i="18"/>
  <c r="J2" i="19"/>
  <c r="E246" i="17" l="1"/>
  <c r="D246" i="17"/>
  <c r="E234" i="17"/>
  <c r="D234" i="17"/>
  <c r="D222" i="17"/>
  <c r="E222" i="17"/>
  <c r="D202" i="17"/>
  <c r="E202" i="17"/>
  <c r="D190" i="17"/>
  <c r="E190" i="17"/>
  <c r="D178" i="17"/>
  <c r="E178" i="17"/>
  <c r="D166" i="17"/>
  <c r="E166" i="17"/>
  <c r="D154" i="17"/>
  <c r="E154" i="17"/>
  <c r="D142" i="17"/>
  <c r="E142" i="17"/>
  <c r="D130" i="17"/>
  <c r="E130" i="17"/>
  <c r="D118" i="17"/>
  <c r="E118" i="17"/>
  <c r="D106" i="17"/>
  <c r="E106" i="17"/>
  <c r="D94" i="17"/>
  <c r="E94" i="17"/>
  <c r="D82" i="17"/>
  <c r="E82" i="17"/>
  <c r="D70" i="17"/>
  <c r="E70" i="17"/>
  <c r="D54" i="17"/>
  <c r="E54" i="17"/>
  <c r="D42" i="17"/>
  <c r="E42" i="17"/>
  <c r="D30" i="17"/>
  <c r="E30" i="17"/>
  <c r="D18" i="17"/>
  <c r="E18" i="17"/>
  <c r="D14" i="17"/>
  <c r="E14" i="17"/>
  <c r="D261" i="17"/>
  <c r="E261" i="17"/>
  <c r="D249" i="17"/>
  <c r="E249" i="17"/>
  <c r="D241" i="17"/>
  <c r="E241" i="17"/>
  <c r="D237" i="17"/>
  <c r="E237" i="17"/>
  <c r="D233" i="17"/>
  <c r="E233" i="17"/>
  <c r="D229" i="17"/>
  <c r="E229" i="17"/>
  <c r="D225" i="17"/>
  <c r="E225" i="17"/>
  <c r="D221" i="17"/>
  <c r="E221" i="17"/>
  <c r="D217" i="17"/>
  <c r="E217" i="17"/>
  <c r="E213" i="17"/>
  <c r="D213" i="17"/>
  <c r="E209" i="17"/>
  <c r="D209" i="17"/>
  <c r="E205" i="17"/>
  <c r="D205" i="17"/>
  <c r="E201" i="17"/>
  <c r="D201" i="17"/>
  <c r="E197" i="17"/>
  <c r="D197" i="17"/>
  <c r="E193" i="17"/>
  <c r="D193" i="17"/>
  <c r="E189" i="17"/>
  <c r="D189" i="17"/>
  <c r="E185" i="17"/>
  <c r="D185" i="17"/>
  <c r="E181" i="17"/>
  <c r="D181" i="17"/>
  <c r="E177" i="17"/>
  <c r="D177" i="17"/>
  <c r="D173" i="17"/>
  <c r="E173" i="17"/>
  <c r="D169" i="17"/>
  <c r="E169" i="17"/>
  <c r="D165" i="17"/>
  <c r="E165" i="17"/>
  <c r="D161" i="17"/>
  <c r="E161" i="17"/>
  <c r="D157" i="17"/>
  <c r="E157" i="17"/>
  <c r="D153" i="17"/>
  <c r="E153" i="17"/>
  <c r="D149" i="17"/>
  <c r="E149" i="17"/>
  <c r="D145" i="17"/>
  <c r="E145" i="17"/>
  <c r="D141" i="17"/>
  <c r="E141" i="17"/>
  <c r="D137" i="17"/>
  <c r="E137" i="17"/>
  <c r="D133" i="17"/>
  <c r="E133" i="17"/>
  <c r="D129" i="17"/>
  <c r="E129" i="17"/>
  <c r="D125" i="17"/>
  <c r="E125" i="17"/>
  <c r="D121" i="17"/>
  <c r="E121" i="17"/>
  <c r="D117" i="17"/>
  <c r="E117" i="17"/>
  <c r="D113" i="17"/>
  <c r="E113" i="17"/>
  <c r="D109" i="17"/>
  <c r="E109" i="17"/>
  <c r="D105" i="17"/>
  <c r="E105" i="17"/>
  <c r="D101" i="17"/>
  <c r="E101" i="17"/>
  <c r="D97" i="17"/>
  <c r="E97" i="17"/>
  <c r="D93" i="17"/>
  <c r="E93" i="17"/>
  <c r="D89" i="17"/>
  <c r="E89" i="17"/>
  <c r="D85" i="17"/>
  <c r="E85" i="17"/>
  <c r="D81" i="17"/>
  <c r="E81" i="17"/>
  <c r="D77" i="17"/>
  <c r="E77" i="17"/>
  <c r="D73" i="17"/>
  <c r="E73" i="17"/>
  <c r="D69" i="17"/>
  <c r="E69" i="17"/>
  <c r="D65" i="17"/>
  <c r="E65" i="17"/>
  <c r="D61" i="17"/>
  <c r="E61" i="17"/>
  <c r="D57" i="17"/>
  <c r="E57" i="17"/>
  <c r="D53" i="17"/>
  <c r="E53" i="17"/>
  <c r="D49" i="17"/>
  <c r="E49" i="17"/>
  <c r="D45" i="17"/>
  <c r="E45" i="17"/>
  <c r="D41" i="17"/>
  <c r="E41" i="17"/>
  <c r="D37" i="17"/>
  <c r="E37" i="17"/>
  <c r="D33" i="17"/>
  <c r="E33" i="17"/>
  <c r="D29" i="17"/>
  <c r="E29" i="17"/>
  <c r="D25" i="17"/>
  <c r="E25" i="17"/>
  <c r="D21" i="17"/>
  <c r="E21" i="17"/>
  <c r="D17" i="17"/>
  <c r="E17" i="17"/>
  <c r="D13" i="17"/>
  <c r="E13" i="17"/>
  <c r="D9" i="17"/>
  <c r="E9" i="17"/>
  <c r="P5" i="17"/>
  <c r="D5" i="17"/>
  <c r="E5" i="17"/>
  <c r="E262" i="17"/>
  <c r="D262" i="17"/>
  <c r="D254" i="17"/>
  <c r="E254" i="17"/>
  <c r="D242" i="17"/>
  <c r="E242" i="17"/>
  <c r="D230" i="17"/>
  <c r="E230" i="17"/>
  <c r="E218" i="17"/>
  <c r="D218" i="17"/>
  <c r="D210" i="17"/>
  <c r="E210" i="17"/>
  <c r="D198" i="17"/>
  <c r="E198" i="17"/>
  <c r="D186" i="17"/>
  <c r="E186" i="17"/>
  <c r="D174" i="17"/>
  <c r="E174" i="17"/>
  <c r="D162" i="17"/>
  <c r="E162" i="17"/>
  <c r="D150" i="17"/>
  <c r="E150" i="17"/>
  <c r="D138" i="17"/>
  <c r="E138" i="17"/>
  <c r="D126" i="17"/>
  <c r="E126" i="17"/>
  <c r="D114" i="17"/>
  <c r="E114" i="17"/>
  <c r="D102" i="17"/>
  <c r="E102" i="17"/>
  <c r="D90" i="17"/>
  <c r="E90" i="17"/>
  <c r="D74" i="17"/>
  <c r="E74" i="17"/>
  <c r="D62" i="17"/>
  <c r="E62" i="17"/>
  <c r="D50" i="17"/>
  <c r="E50" i="17"/>
  <c r="D34" i="17"/>
  <c r="E34" i="17"/>
  <c r="D22" i="17"/>
  <c r="E22" i="17"/>
  <c r="D10" i="17"/>
  <c r="E10" i="17"/>
  <c r="D265" i="17"/>
  <c r="E265" i="17"/>
  <c r="D253" i="17"/>
  <c r="E253" i="17"/>
  <c r="D264" i="17"/>
  <c r="E264" i="17"/>
  <c r="E256" i="17"/>
  <c r="D256" i="17"/>
  <c r="E252" i="17"/>
  <c r="D252" i="17"/>
  <c r="D248" i="17"/>
  <c r="E248" i="17"/>
  <c r="E244" i="17"/>
  <c r="D244" i="17"/>
  <c r="E240" i="17"/>
  <c r="D240" i="17"/>
  <c r="D236" i="17"/>
  <c r="E236" i="17"/>
  <c r="E232" i="17"/>
  <c r="D232" i="17"/>
  <c r="D228" i="17"/>
  <c r="E228" i="17"/>
  <c r="E224" i="17"/>
  <c r="D224" i="17"/>
  <c r="E220" i="17"/>
  <c r="D220" i="17"/>
  <c r="D216" i="17"/>
  <c r="E216" i="17"/>
  <c r="D212" i="17"/>
  <c r="E212" i="17"/>
  <c r="D208" i="17"/>
  <c r="E208" i="17"/>
  <c r="D204" i="17"/>
  <c r="E204" i="17"/>
  <c r="D200" i="17"/>
  <c r="E200" i="17"/>
  <c r="D196" i="17"/>
  <c r="E196" i="17"/>
  <c r="D192" i="17"/>
  <c r="E192" i="17"/>
  <c r="D188" i="17"/>
  <c r="E188" i="17"/>
  <c r="D184" i="17"/>
  <c r="E184" i="17"/>
  <c r="D180" i="17"/>
  <c r="E180" i="17"/>
  <c r="D176" i="17"/>
  <c r="E176" i="17"/>
  <c r="D172" i="17"/>
  <c r="E172" i="17"/>
  <c r="D168" i="17"/>
  <c r="E168" i="17"/>
  <c r="D164" i="17"/>
  <c r="E164" i="17"/>
  <c r="D160" i="17"/>
  <c r="E160" i="17"/>
  <c r="D156" i="17"/>
  <c r="E156" i="17"/>
  <c r="D152" i="17"/>
  <c r="E152" i="17"/>
  <c r="D148" i="17"/>
  <c r="E148" i="17"/>
  <c r="D144" i="17"/>
  <c r="E144" i="17"/>
  <c r="D140" i="17"/>
  <c r="E140" i="17"/>
  <c r="D136" i="17"/>
  <c r="E136" i="17"/>
  <c r="D132" i="17"/>
  <c r="E132" i="17"/>
  <c r="D128" i="17"/>
  <c r="E128" i="17"/>
  <c r="D124" i="17"/>
  <c r="E124" i="17"/>
  <c r="D120" i="17"/>
  <c r="E120" i="17"/>
  <c r="D116" i="17"/>
  <c r="E116" i="17"/>
  <c r="D112" i="17"/>
  <c r="E112" i="17"/>
  <c r="D108" i="17"/>
  <c r="E108" i="17"/>
  <c r="D104" i="17"/>
  <c r="E104" i="17"/>
  <c r="D100" i="17"/>
  <c r="E100" i="17"/>
  <c r="D96" i="17"/>
  <c r="E96" i="17"/>
  <c r="D92" i="17"/>
  <c r="E92" i="17"/>
  <c r="D88" i="17"/>
  <c r="E88" i="17"/>
  <c r="D84" i="17"/>
  <c r="E84" i="17"/>
  <c r="D80" i="17"/>
  <c r="E80" i="17"/>
  <c r="D76" i="17"/>
  <c r="E76" i="17"/>
  <c r="D72" i="17"/>
  <c r="E72" i="17"/>
  <c r="D68" i="17"/>
  <c r="E68" i="17"/>
  <c r="D64" i="17"/>
  <c r="E64" i="17"/>
  <c r="D60" i="17"/>
  <c r="E60" i="17"/>
  <c r="D56" i="17"/>
  <c r="E56" i="17"/>
  <c r="D52" i="17"/>
  <c r="E52" i="17"/>
  <c r="D48" i="17"/>
  <c r="E48" i="17"/>
  <c r="D44" i="17"/>
  <c r="E44" i="17"/>
  <c r="D40" i="17"/>
  <c r="E40" i="17"/>
  <c r="D36" i="17"/>
  <c r="E36" i="17"/>
  <c r="D32" i="17"/>
  <c r="E32" i="17"/>
  <c r="D28" i="17"/>
  <c r="E28" i="17"/>
  <c r="D24" i="17"/>
  <c r="E24" i="17"/>
  <c r="D20" i="17"/>
  <c r="E20" i="17"/>
  <c r="D16" i="17"/>
  <c r="E16" i="17"/>
  <c r="D12" i="17"/>
  <c r="E12" i="17"/>
  <c r="D8" i="17"/>
  <c r="E8" i="17"/>
  <c r="D258" i="17"/>
  <c r="E258" i="17"/>
  <c r="E250" i="17"/>
  <c r="D250" i="17"/>
  <c r="E238" i="17"/>
  <c r="D238" i="17"/>
  <c r="E226" i="17"/>
  <c r="D226" i="17"/>
  <c r="D214" i="17"/>
  <c r="E214" i="17"/>
  <c r="D206" i="17"/>
  <c r="E206" i="17"/>
  <c r="D194" i="17"/>
  <c r="E194" i="17"/>
  <c r="D182" i="17"/>
  <c r="E182" i="17"/>
  <c r="D170" i="17"/>
  <c r="E170" i="17"/>
  <c r="D158" i="17"/>
  <c r="E158" i="17"/>
  <c r="D146" i="17"/>
  <c r="E146" i="17"/>
  <c r="D134" i="17"/>
  <c r="E134" i="17"/>
  <c r="D122" i="17"/>
  <c r="E122" i="17"/>
  <c r="D110" i="17"/>
  <c r="E110" i="17"/>
  <c r="D98" i="17"/>
  <c r="E98" i="17"/>
  <c r="D86" i="17"/>
  <c r="E86" i="17"/>
  <c r="D78" i="17"/>
  <c r="E78" i="17"/>
  <c r="D66" i="17"/>
  <c r="E66" i="17"/>
  <c r="D58" i="17"/>
  <c r="E58" i="17"/>
  <c r="D46" i="17"/>
  <c r="E46" i="17"/>
  <c r="D38" i="17"/>
  <c r="E38" i="17"/>
  <c r="D26" i="17"/>
  <c r="E26" i="17"/>
  <c r="D6" i="17"/>
  <c r="E6" i="17"/>
  <c r="D257" i="17"/>
  <c r="E257" i="17"/>
  <c r="D245" i="17"/>
  <c r="E245" i="17"/>
  <c r="E260" i="17"/>
  <c r="D260" i="17"/>
  <c r="D263" i="17"/>
  <c r="E263" i="17"/>
  <c r="D259" i="17"/>
  <c r="E259" i="17"/>
  <c r="D255" i="17"/>
  <c r="E255" i="17"/>
  <c r="D251" i="17"/>
  <c r="E251" i="17"/>
  <c r="D247" i="17"/>
  <c r="E247" i="17"/>
  <c r="D243" i="17"/>
  <c r="E243" i="17"/>
  <c r="D239" i="17"/>
  <c r="E239" i="17"/>
  <c r="D235" i="17"/>
  <c r="E235" i="17"/>
  <c r="D231" i="17"/>
  <c r="E231" i="17"/>
  <c r="D227" i="17"/>
  <c r="E227" i="17"/>
  <c r="D223" i="17"/>
  <c r="E223" i="17"/>
  <c r="D219" i="17"/>
  <c r="E219" i="17"/>
  <c r="E215" i="17"/>
  <c r="D215" i="17"/>
  <c r="E211" i="17"/>
  <c r="D211" i="17"/>
  <c r="E207" i="17"/>
  <c r="D207" i="17"/>
  <c r="E203" i="17"/>
  <c r="D203" i="17"/>
  <c r="E199" i="17"/>
  <c r="D199" i="17"/>
  <c r="E195" i="17"/>
  <c r="D195" i="17"/>
  <c r="E191" i="17"/>
  <c r="D191" i="17"/>
  <c r="E187" i="17"/>
  <c r="D187" i="17"/>
  <c r="E183" i="17"/>
  <c r="D183" i="17"/>
  <c r="E179" i="17"/>
  <c r="D179" i="17"/>
  <c r="E175" i="17"/>
  <c r="D175" i="17"/>
  <c r="D171" i="17"/>
  <c r="E171" i="17"/>
  <c r="E167" i="17"/>
  <c r="D167" i="17"/>
  <c r="D163" i="17"/>
  <c r="E163" i="17"/>
  <c r="E159" i="17"/>
  <c r="D159" i="17"/>
  <c r="D155" i="17"/>
  <c r="E155" i="17"/>
  <c r="E151" i="17"/>
  <c r="D151" i="17"/>
  <c r="D147" i="17"/>
  <c r="E147" i="17"/>
  <c r="E143" i="17"/>
  <c r="D143" i="17"/>
  <c r="D139" i="17"/>
  <c r="E139" i="17"/>
  <c r="E135" i="17"/>
  <c r="D135" i="17"/>
  <c r="D131" i="17"/>
  <c r="E131" i="17"/>
  <c r="E127" i="17"/>
  <c r="D127" i="17"/>
  <c r="D123" i="17"/>
  <c r="E123" i="17"/>
  <c r="E119" i="17"/>
  <c r="D119" i="17"/>
  <c r="D115" i="17"/>
  <c r="E115" i="17"/>
  <c r="E111" i="17"/>
  <c r="D111" i="17"/>
  <c r="D107" i="17"/>
  <c r="E107" i="17"/>
  <c r="E103" i="17"/>
  <c r="D103" i="17"/>
  <c r="D99" i="17"/>
  <c r="E99" i="17"/>
  <c r="E95" i="17"/>
  <c r="D95" i="17"/>
  <c r="D91" i="17"/>
  <c r="E91" i="17"/>
  <c r="E87" i="17"/>
  <c r="D87" i="17"/>
  <c r="D83" i="17"/>
  <c r="E83" i="17"/>
  <c r="E79" i="17"/>
  <c r="D79" i="17"/>
  <c r="D75" i="17"/>
  <c r="E75" i="17"/>
  <c r="E71" i="17"/>
  <c r="D71" i="17"/>
  <c r="D67" i="17"/>
  <c r="E67" i="17"/>
  <c r="E63" i="17"/>
  <c r="D63" i="17"/>
  <c r="D59" i="17"/>
  <c r="E59" i="17"/>
  <c r="E55" i="17"/>
  <c r="D55" i="17"/>
  <c r="D51" i="17"/>
  <c r="E51" i="17"/>
  <c r="E47" i="17"/>
  <c r="D47" i="17"/>
  <c r="D43" i="17"/>
  <c r="E43" i="17"/>
  <c r="E39" i="17"/>
  <c r="D39" i="17"/>
  <c r="D35" i="17"/>
  <c r="E35" i="17"/>
  <c r="E31" i="17"/>
  <c r="D31" i="17"/>
  <c r="D27" i="17"/>
  <c r="E27" i="17"/>
  <c r="E23" i="17"/>
  <c r="D23" i="17"/>
  <c r="D19" i="17"/>
  <c r="E19" i="17"/>
  <c r="D11" i="17"/>
  <c r="E11" i="17"/>
  <c r="E7" i="17"/>
  <c r="D7" i="17"/>
  <c r="P4" i="17"/>
  <c r="P261" i="17"/>
  <c r="P255" i="17"/>
  <c r="P252" i="17"/>
  <c r="P249" i="17"/>
  <c r="P246" i="17"/>
  <c r="P243" i="17"/>
  <c r="P240" i="17"/>
  <c r="P234" i="17"/>
  <c r="P229" i="17"/>
  <c r="P223" i="17"/>
  <c r="P220" i="17"/>
  <c r="P217" i="17"/>
  <c r="P214" i="17"/>
  <c r="P211" i="17"/>
  <c r="P208" i="17"/>
  <c r="P202" i="17"/>
  <c r="P197" i="17"/>
  <c r="P191" i="17"/>
  <c r="P188" i="17"/>
  <c r="P185" i="17"/>
  <c r="P182" i="17"/>
  <c r="P179" i="17"/>
  <c r="P176" i="17"/>
  <c r="P170" i="17"/>
  <c r="P165" i="17"/>
  <c r="P159" i="17"/>
  <c r="P156" i="17"/>
  <c r="P153" i="17"/>
  <c r="P150" i="17"/>
  <c r="P147" i="17"/>
  <c r="P144" i="17"/>
  <c r="P138" i="17"/>
  <c r="P133" i="17"/>
  <c r="P127" i="17"/>
  <c r="P124" i="17"/>
  <c r="P121" i="17"/>
  <c r="P118" i="17"/>
  <c r="P115" i="17"/>
  <c r="P112" i="17"/>
  <c r="P106" i="17"/>
  <c r="P101" i="17"/>
  <c r="P95" i="17"/>
  <c r="P92" i="17"/>
  <c r="P89" i="17"/>
  <c r="P86" i="17"/>
  <c r="P83" i="17"/>
  <c r="P80" i="17"/>
  <c r="P74" i="17"/>
  <c r="P69" i="17"/>
  <c r="P63" i="17"/>
  <c r="P57" i="17"/>
  <c r="P53" i="17"/>
  <c r="P49" i="17"/>
  <c r="P45" i="17"/>
  <c r="P41" i="17"/>
  <c r="P37" i="17"/>
  <c r="P33" i="17"/>
  <c r="P29" i="17"/>
  <c r="P25" i="17"/>
  <c r="P21" i="17"/>
  <c r="P17" i="17"/>
  <c r="P13" i="17"/>
  <c r="P9" i="17"/>
  <c r="P263" i="17"/>
  <c r="P260" i="17"/>
  <c r="P257" i="17"/>
  <c r="P254" i="17"/>
  <c r="P251" i="17"/>
  <c r="P248" i="17"/>
  <c r="P242" i="17"/>
  <c r="P237" i="17"/>
  <c r="P231" i="17"/>
  <c r="P228" i="17"/>
  <c r="P225" i="17"/>
  <c r="P222" i="17"/>
  <c r="P219" i="17"/>
  <c r="P216" i="17"/>
  <c r="P210" i="17"/>
  <c r="P205" i="17"/>
  <c r="P199" i="17"/>
  <c r="P196" i="17"/>
  <c r="P193" i="17"/>
  <c r="P190" i="17"/>
  <c r="P187" i="17"/>
  <c r="P184" i="17"/>
  <c r="P178" i="17"/>
  <c r="P173" i="17"/>
  <c r="P167" i="17"/>
  <c r="P164" i="17"/>
  <c r="P161" i="17"/>
  <c r="P158" i="17"/>
  <c r="P155" i="17"/>
  <c r="P152" i="17"/>
  <c r="P146" i="17"/>
  <c r="P141" i="17"/>
  <c r="P135" i="17"/>
  <c r="P132" i="17"/>
  <c r="P129" i="17"/>
  <c r="P126" i="17"/>
  <c r="P123" i="17"/>
  <c r="P120" i="17"/>
  <c r="P114" i="17"/>
  <c r="P109" i="17"/>
  <c r="P103" i="17"/>
  <c r="P100" i="17"/>
  <c r="P97" i="17"/>
  <c r="P94" i="17"/>
  <c r="P91" i="17"/>
  <c r="P88" i="17"/>
  <c r="P82" i="17"/>
  <c r="P77" i="17"/>
  <c r="P71" i="17"/>
  <c r="P68" i="17"/>
  <c r="P65" i="17"/>
  <c r="P62" i="17"/>
  <c r="P60" i="17"/>
  <c r="P56" i="17"/>
  <c r="P52" i="17"/>
  <c r="P48" i="17"/>
  <c r="P44" i="17"/>
  <c r="P40" i="17"/>
  <c r="P36" i="17"/>
  <c r="P32" i="17"/>
  <c r="P28" i="17"/>
  <c r="P24" i="17"/>
  <c r="P20" i="17"/>
  <c r="P16" i="17"/>
  <c r="P12" i="17"/>
  <c r="P8" i="17"/>
  <c r="P265" i="17"/>
  <c r="P262" i="17"/>
  <c r="P259" i="17"/>
  <c r="P256" i="17"/>
  <c r="P250" i="17"/>
  <c r="P245" i="17"/>
  <c r="P239" i="17"/>
  <c r="P236" i="17"/>
  <c r="P233" i="17"/>
  <c r="P230" i="17"/>
  <c r="P227" i="17"/>
  <c r="P224" i="17"/>
  <c r="P218" i="17"/>
  <c r="P213" i="17"/>
  <c r="P207" i="17"/>
  <c r="P204" i="17"/>
  <c r="P201" i="17"/>
  <c r="P198" i="17"/>
  <c r="P195" i="17"/>
  <c r="P192" i="17"/>
  <c r="P186" i="17"/>
  <c r="P181" i="17"/>
  <c r="P175" i="17"/>
  <c r="P172" i="17"/>
  <c r="P169" i="17"/>
  <c r="P166" i="17"/>
  <c r="P163" i="17"/>
  <c r="P160" i="17"/>
  <c r="P154" i="17"/>
  <c r="P149" i="17"/>
  <c r="P143" i="17"/>
  <c r="P140" i="17"/>
  <c r="P137" i="17"/>
  <c r="P134" i="17"/>
  <c r="P131" i="17"/>
  <c r="P128" i="17"/>
  <c r="P122" i="17"/>
  <c r="P117" i="17"/>
  <c r="P111" i="17"/>
  <c r="P108" i="17"/>
  <c r="P105" i="17"/>
  <c r="P102" i="17"/>
  <c r="P99" i="17"/>
  <c r="P96" i="17"/>
  <c r="P90" i="17"/>
  <c r="P85" i="17"/>
  <c r="P79" i="17"/>
  <c r="P76" i="17"/>
  <c r="P73" i="17"/>
  <c r="P70" i="17"/>
  <c r="P67" i="17"/>
  <c r="P64" i="17"/>
  <c r="P59" i="17"/>
  <c r="P55" i="17"/>
  <c r="P51" i="17"/>
  <c r="P47" i="17"/>
  <c r="P43" i="17"/>
  <c r="P39" i="17"/>
  <c r="P35" i="17"/>
  <c r="P31" i="17"/>
  <c r="P27" i="17"/>
  <c r="P23" i="17"/>
  <c r="P19" i="17"/>
  <c r="P11" i="17"/>
  <c r="P7" i="17"/>
  <c r="P264" i="17"/>
  <c r="P258" i="17"/>
  <c r="P253" i="17"/>
  <c r="P247" i="17"/>
  <c r="P244" i="17"/>
  <c r="P241" i="17"/>
  <c r="P238" i="17"/>
  <c r="P235" i="17"/>
  <c r="P232" i="17"/>
  <c r="P226" i="17"/>
  <c r="P221" i="17"/>
  <c r="P215" i="17"/>
  <c r="P212" i="17"/>
  <c r="P209" i="17"/>
  <c r="P206" i="17"/>
  <c r="P203" i="17"/>
  <c r="P200" i="17"/>
  <c r="P194" i="17"/>
  <c r="P189" i="17"/>
  <c r="P183" i="17"/>
  <c r="P180" i="17"/>
  <c r="P177" i="17"/>
  <c r="P174" i="17"/>
  <c r="P171" i="17"/>
  <c r="P168" i="17"/>
  <c r="P162" i="17"/>
  <c r="P157" i="17"/>
  <c r="P151" i="17"/>
  <c r="P148" i="17"/>
  <c r="P145" i="17"/>
  <c r="P142" i="17"/>
  <c r="P139" i="17"/>
  <c r="P136" i="17"/>
  <c r="P130" i="17"/>
  <c r="P125" i="17"/>
  <c r="P119" i="17"/>
  <c r="P116" i="17"/>
  <c r="P113" i="17"/>
  <c r="P110" i="17"/>
  <c r="P107" i="17"/>
  <c r="P104" i="17"/>
  <c r="P98" i="17"/>
  <c r="P93" i="17"/>
  <c r="P87" i="17"/>
  <c r="P84" i="17"/>
  <c r="P81" i="17"/>
  <c r="P78" i="17"/>
  <c r="P75" i="17"/>
  <c r="P72" i="17"/>
  <c r="P66" i="17"/>
  <c r="P61" i="17"/>
  <c r="P58" i="17"/>
  <c r="P54" i="17"/>
  <c r="P50" i="17"/>
  <c r="P46" i="17"/>
  <c r="P42" i="17"/>
  <c r="P38" i="17"/>
  <c r="P34" i="17"/>
  <c r="P30" i="17"/>
  <c r="P26" i="17"/>
  <c r="P22" i="17"/>
  <c r="P18" i="17"/>
  <c r="P14" i="17"/>
  <c r="P10" i="17"/>
  <c r="P6" i="17"/>
  <c r="M4" i="17"/>
  <c r="D4" i="17"/>
  <c r="L4" i="17"/>
  <c r="M2" i="18"/>
  <c r="D3" i="20" s="1"/>
  <c r="S47" i="19"/>
  <c r="S52" i="19" l="1"/>
  <c r="S52" i="18"/>
  <c r="S52" i="17"/>
  <c r="S50" i="17"/>
  <c r="S50" i="19"/>
  <c r="S50" i="18"/>
  <c r="S49" i="17"/>
  <c r="S49" i="19"/>
  <c r="S49" i="18"/>
  <c r="M2" i="17"/>
  <c r="D2" i="20" s="1"/>
  <c r="M2" i="19"/>
  <c r="D4" i="20" s="1"/>
  <c r="U14" i="19"/>
  <c r="T13" i="19"/>
  <c r="U9" i="19"/>
  <c r="T8" i="19"/>
  <c r="U15" i="19"/>
  <c r="T14" i="19"/>
  <c r="U10" i="19"/>
  <c r="T9" i="19"/>
  <c r="U8" i="19"/>
  <c r="U16" i="19"/>
  <c r="T15" i="19"/>
  <c r="T10" i="19"/>
  <c r="T16" i="19"/>
  <c r="U13" i="19"/>
  <c r="U16" i="17"/>
  <c r="U14" i="17"/>
  <c r="T9" i="17"/>
  <c r="U13" i="17"/>
  <c r="T13" i="17"/>
  <c r="T16" i="17"/>
  <c r="U15" i="17"/>
  <c r="T10" i="17"/>
  <c r="U9" i="17"/>
  <c r="T14" i="17"/>
  <c r="S47" i="18"/>
  <c r="S47" i="17"/>
  <c r="U14" i="18"/>
  <c r="T13" i="18"/>
  <c r="U9" i="18"/>
  <c r="T8" i="18"/>
  <c r="U15" i="18"/>
  <c r="T14" i="18"/>
  <c r="U10" i="18"/>
  <c r="T9" i="18"/>
  <c r="T16" i="18"/>
  <c r="U16" i="18"/>
  <c r="T15" i="18"/>
  <c r="T10" i="18"/>
  <c r="U13" i="18"/>
  <c r="U8" i="18"/>
  <c r="U45" i="17" l="1"/>
  <c r="W4" i="17" s="1"/>
  <c r="U45" i="18"/>
  <c r="W4" i="18" s="1"/>
  <c r="U45" i="19"/>
  <c r="W4" i="19" s="1"/>
  <c r="D5" i="20"/>
  <c r="T15" i="17"/>
  <c r="T11" i="17" s="1"/>
  <c r="U11" i="19"/>
  <c r="U12" i="19" s="1"/>
  <c r="T11" i="19"/>
  <c r="T12" i="19" s="1"/>
  <c r="U11" i="17"/>
  <c r="U11" i="18"/>
  <c r="U12" i="18" s="1"/>
  <c r="T11" i="18"/>
  <c r="T12" i="18" s="1"/>
  <c r="O48" i="17" l="1"/>
  <c r="N48" i="17" s="1"/>
  <c r="O39" i="17"/>
  <c r="N39" i="17" s="1"/>
  <c r="O40" i="17"/>
  <c r="N40" i="17" s="1"/>
  <c r="O47" i="17"/>
  <c r="N47" i="17" s="1"/>
  <c r="O46" i="17"/>
  <c r="N46" i="17" s="1"/>
  <c r="O44" i="17"/>
  <c r="N44" i="17" s="1"/>
  <c r="O36" i="17"/>
  <c r="N36" i="17" s="1"/>
  <c r="O45" i="17"/>
  <c r="N45" i="17" s="1"/>
  <c r="O42" i="17"/>
  <c r="N42" i="17" s="1"/>
  <c r="O37" i="17"/>
  <c r="N37" i="17" s="1"/>
  <c r="O38" i="17"/>
  <c r="N38" i="17" s="1"/>
  <c r="O43" i="17"/>
  <c r="N43" i="17" s="1"/>
  <c r="O41" i="17"/>
  <c r="N41" i="17" s="1"/>
  <c r="O34" i="17"/>
  <c r="N34" i="17" s="1"/>
  <c r="O35" i="17"/>
  <c r="N35" i="17" s="1"/>
  <c r="O266" i="17"/>
  <c r="N266" i="17" s="1"/>
  <c r="O256" i="17"/>
  <c r="N256" i="17" s="1"/>
  <c r="O261" i="17"/>
  <c r="N261" i="17" s="1"/>
  <c r="O7" i="19"/>
  <c r="N7" i="19" s="1"/>
  <c r="O10" i="19"/>
  <c r="N10" i="19" s="1"/>
  <c r="O13" i="19"/>
  <c r="N13" i="19" s="1"/>
  <c r="O21" i="19"/>
  <c r="N21" i="19" s="1"/>
  <c r="O8" i="19"/>
  <c r="N8" i="19" s="1"/>
  <c r="O16" i="19"/>
  <c r="N16" i="19" s="1"/>
  <c r="O9" i="19"/>
  <c r="N9" i="19" s="1"/>
  <c r="O12" i="19"/>
  <c r="N12" i="19" s="1"/>
  <c r="O11" i="19"/>
  <c r="N11" i="19" s="1"/>
  <c r="O19" i="19"/>
  <c r="N19" i="19" s="1"/>
  <c r="O14" i="19"/>
  <c r="N14" i="19" s="1"/>
  <c r="O17" i="19"/>
  <c r="N17" i="19" s="1"/>
  <c r="O15" i="19"/>
  <c r="N15" i="19" s="1"/>
  <c r="O18" i="19"/>
  <c r="N18" i="19" s="1"/>
  <c r="O20" i="19"/>
  <c r="N20" i="19" s="1"/>
  <c r="O17" i="18"/>
  <c r="N17" i="18" s="1"/>
  <c r="O20" i="18"/>
  <c r="N20" i="18" s="1"/>
  <c r="O28" i="18"/>
  <c r="N28" i="18" s="1"/>
  <c r="O23" i="18"/>
  <c r="N23" i="18" s="1"/>
  <c r="O31" i="18"/>
  <c r="N31" i="18" s="1"/>
  <c r="O16" i="18"/>
  <c r="N16" i="18" s="1"/>
  <c r="O15" i="18"/>
  <c r="N15" i="18" s="1"/>
  <c r="O18" i="18"/>
  <c r="N18" i="18" s="1"/>
  <c r="O26" i="18"/>
  <c r="N26" i="18" s="1"/>
  <c r="O21" i="18"/>
  <c r="N21" i="18" s="1"/>
  <c r="O29" i="18"/>
  <c r="N29" i="18" s="1"/>
  <c r="O19" i="18"/>
  <c r="N19" i="18" s="1"/>
  <c r="O13" i="18"/>
  <c r="N13" i="18" s="1"/>
  <c r="O24" i="18"/>
  <c r="N24" i="18" s="1"/>
  <c r="O30" i="18"/>
  <c r="N30" i="18" s="1"/>
  <c r="O14" i="18"/>
  <c r="N14" i="18" s="1"/>
  <c r="O25" i="18"/>
  <c r="N25" i="18" s="1"/>
  <c r="O27" i="18"/>
  <c r="N27" i="18" s="1"/>
  <c r="O22" i="18"/>
  <c r="N22" i="18" s="1"/>
  <c r="O24" i="17"/>
  <c r="N24" i="17" s="1"/>
  <c r="O23" i="17"/>
  <c r="N23" i="17" s="1"/>
  <c r="O19" i="17"/>
  <c r="N19" i="17" s="1"/>
  <c r="O29" i="17"/>
  <c r="N29" i="17" s="1"/>
  <c r="O25" i="17"/>
  <c r="N25" i="17" s="1"/>
  <c r="O26" i="17"/>
  <c r="N26" i="17" s="1"/>
  <c r="O28" i="17"/>
  <c r="N28" i="17" s="1"/>
  <c r="O32" i="17"/>
  <c r="N32" i="17" s="1"/>
  <c r="O22" i="17"/>
  <c r="N22" i="17" s="1"/>
  <c r="O20" i="17"/>
  <c r="N20" i="17" s="1"/>
  <c r="O31" i="17"/>
  <c r="N31" i="17" s="1"/>
  <c r="O33" i="17"/>
  <c r="N33" i="17" s="1"/>
  <c r="O18" i="17"/>
  <c r="N18" i="17" s="1"/>
  <c r="O30" i="17"/>
  <c r="N30" i="17" s="1"/>
  <c r="O27" i="17"/>
  <c r="N27" i="17" s="1"/>
  <c r="O21" i="17"/>
  <c r="N21" i="17" s="1"/>
  <c r="O13" i="17"/>
  <c r="N13" i="17" s="1"/>
  <c r="O15" i="17"/>
  <c r="N15" i="17" s="1"/>
  <c r="O16" i="17"/>
  <c r="N16" i="17" s="1"/>
  <c r="O17" i="17"/>
  <c r="N17" i="17" s="1"/>
  <c r="O12" i="17"/>
  <c r="N12" i="17" s="1"/>
  <c r="O5" i="17"/>
  <c r="N5" i="17" s="1"/>
  <c r="O14" i="17"/>
  <c r="N14" i="17" s="1"/>
  <c r="O4" i="17"/>
  <c r="N4" i="17" s="1"/>
  <c r="O9" i="17"/>
  <c r="N9" i="17" s="1"/>
  <c r="O10" i="17"/>
  <c r="N10" i="17" s="1"/>
  <c r="O7" i="17"/>
  <c r="N7" i="17" s="1"/>
  <c r="O8" i="17"/>
  <c r="N8" i="17" s="1"/>
  <c r="O11" i="17"/>
  <c r="N11" i="17" s="1"/>
  <c r="O6" i="17"/>
  <c r="N6" i="17" s="1"/>
  <c r="O5" i="18"/>
  <c r="N5" i="18" s="1"/>
  <c r="O10" i="18"/>
  <c r="N10" i="18" s="1"/>
  <c r="O7" i="18"/>
  <c r="N7" i="18" s="1"/>
  <c r="O12" i="18"/>
  <c r="N12" i="18" s="1"/>
  <c r="O8" i="18"/>
  <c r="N8" i="18" s="1"/>
  <c r="O9" i="18"/>
  <c r="N9" i="18" s="1"/>
  <c r="O11" i="18"/>
  <c r="N11" i="18" s="1"/>
  <c r="O6" i="18"/>
  <c r="N6" i="18" s="1"/>
  <c r="O4" i="18"/>
  <c r="N4" i="18" s="1"/>
  <c r="O4" i="19"/>
  <c r="O5" i="19"/>
  <c r="N5" i="19" s="1"/>
  <c r="O6" i="19"/>
  <c r="N6" i="19" s="1"/>
  <c r="V12" i="19"/>
  <c r="U10" i="17"/>
  <c r="V12" i="18"/>
  <c r="T8" i="17" l="1"/>
  <c r="T12" i="17" s="1"/>
  <c r="N2" i="18"/>
  <c r="N2" i="17"/>
  <c r="U8" i="17"/>
  <c r="U12" i="17" s="1"/>
  <c r="T4" i="17"/>
  <c r="B2" i="20" s="1"/>
  <c r="O2" i="17"/>
  <c r="Q20" i="19"/>
  <c r="Q20" i="18"/>
  <c r="U4" i="18"/>
  <c r="C3" i="20" s="1"/>
  <c r="T4" i="18"/>
  <c r="B3" i="20" s="1"/>
  <c r="O2" i="18"/>
  <c r="O2" i="19"/>
  <c r="N4" i="19"/>
  <c r="T4" i="19"/>
  <c r="B4" i="20" s="1"/>
  <c r="U4" i="17"/>
  <c r="C2" i="20" s="1"/>
  <c r="V12" i="17" l="1"/>
  <c r="B5" i="20"/>
  <c r="U4" i="19"/>
  <c r="C4" i="20" s="1"/>
  <c r="C5" i="20" s="1"/>
  <c r="N2" i="19"/>
  <c r="F204" i="11"/>
  <c r="F203" i="11"/>
  <c r="F202" i="11"/>
  <c r="F197" i="11"/>
  <c r="F196" i="11"/>
  <c r="F195" i="11"/>
  <c r="F193" i="11"/>
  <c r="F191" i="11"/>
  <c r="F190" i="11"/>
  <c r="F188" i="11"/>
  <c r="K187" i="11"/>
  <c r="J187" i="11"/>
  <c r="F187" i="11"/>
  <c r="F186" i="11"/>
  <c r="F185" i="11"/>
  <c r="F184" i="11"/>
  <c r="F182" i="11"/>
  <c r="F181" i="11"/>
  <c r="F180" i="11"/>
  <c r="F179" i="11"/>
  <c r="F178" i="11"/>
  <c r="F177" i="11"/>
  <c r="F176" i="11"/>
  <c r="F174" i="11"/>
  <c r="F172" i="11"/>
  <c r="F171" i="11"/>
  <c r="F169" i="11"/>
  <c r="F166" i="11"/>
  <c r="F165" i="11"/>
  <c r="F160" i="11"/>
  <c r="H160" i="11" s="1"/>
  <c r="F159" i="11"/>
  <c r="F157" i="11"/>
  <c r="F155" i="11"/>
  <c r="F154" i="11"/>
  <c r="D153" i="11"/>
  <c r="F153" i="11" s="1"/>
  <c r="F152" i="11"/>
  <c r="F151" i="11"/>
  <c r="F146" i="11"/>
  <c r="F145" i="11"/>
  <c r="F144" i="11"/>
  <c r="F141" i="11"/>
  <c r="F140" i="11"/>
  <c r="F139" i="11"/>
  <c r="F136" i="11"/>
  <c r="F135" i="11"/>
  <c r="F134" i="11"/>
  <c r="F133" i="11"/>
  <c r="F132" i="11"/>
  <c r="F131" i="11"/>
  <c r="F130" i="11"/>
  <c r="F129" i="11"/>
  <c r="F128" i="11"/>
  <c r="F126" i="11"/>
  <c r="H126" i="11" s="1"/>
  <c r="F125" i="11"/>
  <c r="F124" i="11"/>
  <c r="F123" i="11"/>
  <c r="F122" i="11"/>
  <c r="F121" i="11"/>
  <c r="F117" i="11"/>
  <c r="F116" i="11"/>
  <c r="F115" i="11"/>
  <c r="F114" i="11"/>
  <c r="F112" i="11"/>
  <c r="F111" i="11"/>
  <c r="F110" i="11"/>
  <c r="K109" i="11"/>
  <c r="J109" i="11"/>
  <c r="F109" i="11"/>
  <c r="F108" i="11"/>
  <c r="F107" i="11"/>
  <c r="F106" i="11"/>
  <c r="F104" i="11"/>
  <c r="F103" i="11"/>
  <c r="F99" i="11"/>
  <c r="F98" i="11"/>
  <c r="F97" i="11"/>
  <c r="F94" i="11"/>
  <c r="H94" i="11" s="1"/>
  <c r="F92" i="11"/>
  <c r="F91" i="11"/>
  <c r="F89" i="11"/>
  <c r="F88" i="11"/>
  <c r="F86" i="11"/>
  <c r="F85" i="11"/>
  <c r="F84" i="11"/>
  <c r="F83" i="11"/>
  <c r="F82" i="11"/>
  <c r="F79" i="11"/>
  <c r="F78" i="11"/>
  <c r="F77" i="11"/>
  <c r="F75" i="11"/>
  <c r="F74" i="11"/>
  <c r="F73" i="11"/>
  <c r="F72" i="11"/>
  <c r="F71" i="11"/>
  <c r="F66" i="11"/>
  <c r="F62" i="11"/>
  <c r="F61" i="11"/>
  <c r="F59" i="11"/>
  <c r="F58" i="11"/>
  <c r="F57" i="11"/>
  <c r="F56" i="11"/>
  <c r="F54" i="11"/>
  <c r="F53" i="11"/>
  <c r="F52" i="11"/>
  <c r="F50" i="11"/>
  <c r="F48" i="11"/>
  <c r="F47" i="11"/>
  <c r="F46" i="11"/>
  <c r="F45" i="11"/>
  <c r="F44" i="11"/>
  <c r="F43" i="11"/>
  <c r="F41" i="11"/>
  <c r="F40" i="11"/>
  <c r="F39" i="11"/>
  <c r="F38" i="11"/>
  <c r="F37" i="11"/>
  <c r="F36" i="11"/>
  <c r="F35" i="11"/>
  <c r="F30" i="11"/>
  <c r="F27" i="11"/>
  <c r="F26" i="11"/>
  <c r="F25" i="11"/>
  <c r="F24" i="11"/>
  <c r="F23" i="11"/>
  <c r="F21" i="11"/>
  <c r="F20" i="11"/>
  <c r="F19" i="11"/>
  <c r="F18" i="11"/>
  <c r="F17" i="11"/>
  <c r="F15" i="11"/>
  <c r="F13" i="11"/>
  <c r="H13" i="11" s="1"/>
  <c r="F11" i="11"/>
  <c r="F10" i="11"/>
  <c r="F9" i="11"/>
  <c r="F8" i="11"/>
  <c r="F7" i="11"/>
  <c r="F6" i="11"/>
  <c r="F5" i="11"/>
  <c r="F4" i="11"/>
  <c r="F3" i="11"/>
  <c r="F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Munoz Ardila, Andrea</author>
  </authors>
  <commentList>
    <comment ref="H1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Unit active</t>
        </r>
      </text>
    </comment>
    <comment ref="J1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Defined Daily Dose (angenommene mittlere tägliche Einnahmedosis (Erhaltungsdosis)</t>
        </r>
      </text>
    </comment>
    <comment ref="A14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Gegen Fliegen- und Bremsenbefall
</t>
        </r>
      </text>
    </comment>
    <comment ref="A28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Impfstof</t>
        </r>
      </text>
    </comment>
    <comment ref="A29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Impfstoff</t>
        </r>
      </text>
    </comment>
    <comment ref="A31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Analgetikums</t>
        </r>
      </text>
    </comment>
    <comment ref="A32" authorId="0" shapeId="0" xr:uid="{00000000-0006-0000-0500-000007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Insektizid</t>
        </r>
      </text>
    </comment>
    <comment ref="A33" authorId="0" shapeId="0" xr:uid="{00000000-0006-0000-0500-000008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Vitamin</t>
        </r>
      </text>
    </comment>
    <comment ref="A34" authorId="0" shapeId="0" xr:uid="{00000000-0006-0000-0500-000009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Vitamin
</t>
        </r>
      </text>
    </comment>
    <comment ref="A51" authorId="0" shapeId="0" xr:uid="{00000000-0006-0000-0500-00000A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kein Antibiotikum</t>
        </r>
      </text>
    </comment>
    <comment ref="A60" authorId="0" shapeId="0" xr:uid="{00000000-0006-0000-0500-00000B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 Antiparasitika</t>
        </r>
      </text>
    </comment>
    <comment ref="A63" authorId="0" shapeId="0" xr:uid="{00000000-0006-0000-0500-00000C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Kein Antibiotikum
</t>
        </r>
      </text>
    </comment>
    <comment ref="A64" authorId="0" shapeId="0" xr:uid="{00000000-0006-0000-0500-00000D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kein Antibiotikum</t>
        </r>
      </text>
    </comment>
    <comment ref="A65" authorId="0" shapeId="0" xr:uid="{00000000-0006-0000-0500-00000E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Stereoide</t>
        </r>
      </text>
    </comment>
    <comment ref="A67" authorId="0" shapeId="0" xr:uid="{00000000-0006-0000-0500-00000F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Antiphlogistika (schwache Analgetika) </t>
        </r>
      </text>
    </comment>
    <comment ref="A68" authorId="0" shapeId="0" xr:uid="{00000000-0006-0000-0500-000010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Prostaglandin F2α </t>
        </r>
      </text>
    </comment>
    <comment ref="A69" authorId="0" shapeId="0" xr:uid="{00000000-0006-0000-0500-000011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Sulfonamide</t>
        </r>
      </text>
    </comment>
    <comment ref="A76" authorId="0" shapeId="0" xr:uid="{00000000-0006-0000-0500-000012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Flüssigkeits- und Elektrolytersatz mit partieller Deckung des Kohlenhydratbedarfs</t>
        </r>
      </text>
    </comment>
    <comment ref="A80" authorId="0" shapeId="0" xr:uid="{00000000-0006-0000-0500-000013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Prostaglandin</t>
        </r>
      </text>
    </comment>
    <comment ref="A81" authorId="0" shapeId="0" xr:uid="{00000000-0006-0000-0500-000014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Cloprostenol - Synthetische Prostaglandin-Injektionslösung </t>
        </r>
      </text>
    </comment>
    <comment ref="A87" authorId="0" shapeId="0" xr:uid="{00000000-0006-0000-0500-000015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Verbesserung der Konzeptionsrate bei künstlichen Besamungen</t>
        </r>
      </text>
    </comment>
    <comment ref="A90" authorId="0" shapeId="0" xr:uid="{00000000-0006-0000-0500-000016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Antiseptika</t>
        </r>
      </text>
    </comment>
    <comment ref="A93" authorId="0" shapeId="0" xr:uid="{00000000-0006-0000-0500-000017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Behandlung von Magen-Darm-Infektionen</t>
        </r>
      </text>
    </comment>
    <comment ref="A95" authorId="0" shapeId="0" xr:uid="{00000000-0006-0000-0500-000018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Stimulating effect on the normal functions of the digestive organs </t>
        </r>
      </text>
    </comment>
    <comment ref="A100" authorId="0" shapeId="0" xr:uid="{00000000-0006-0000-0500-000019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Fructose+Glucose</t>
        </r>
      </text>
    </comment>
    <comment ref="A101" authorId="0" shapeId="0" xr:uid="{00000000-0006-0000-0500-00001A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Lokalanästhetika </t>
        </r>
      </text>
    </comment>
    <comment ref="A102" authorId="0" shapeId="0" xr:uid="{00000000-0006-0000-0500-00001B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Ergänzung der Tagesration</t>
        </r>
      </text>
    </comment>
    <comment ref="A105" authorId="0" shapeId="0" xr:uid="{00000000-0006-0000-0500-00001C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Schmerzmittel</t>
        </r>
      </text>
    </comment>
    <comment ref="A118" authorId="0" shapeId="0" xr:uid="{00000000-0006-0000-0500-00001D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Behandlung von nichtinfektiösen Euterentzündungen</t>
        </r>
      </text>
    </comment>
    <comment ref="A119" authorId="0" shapeId="0" xr:uid="{00000000-0006-0000-0500-00001E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Nichtsteroidales Antiphlogistikum</t>
        </r>
      </text>
    </comment>
    <comment ref="A120" authorId="0" shapeId="0" xr:uid="{00000000-0006-0000-0500-00001F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Nichtsteroidales Antiphlogistikum</t>
        </r>
      </text>
    </comment>
    <comment ref="A138" authorId="0" shapeId="0" xr:uid="{00000000-0006-0000-0500-000020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Antibiotikafreier Euterschutz</t>
        </r>
      </text>
    </comment>
    <comment ref="A142" authorId="0" shapeId="0" xr:uid="{00000000-0006-0000-0500-000021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Homöopathische Arzneispezialität</t>
        </r>
      </text>
    </comment>
    <comment ref="A147" authorId="0" shapeId="0" xr:uid="{00000000-0006-0000-0500-000022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Euterschutz - zum Verschluss des Zitzenkanals</t>
        </r>
      </text>
    </comment>
    <comment ref="A148" authorId="0" shapeId="0" xr:uid="{00000000-0006-0000-0500-000023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Kein Antibiotikum</t>
        </r>
      </text>
    </comment>
    <comment ref="A149" authorId="0" shapeId="0" xr:uid="{00000000-0006-0000-0500-000024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Als Unterstützungstherapie bei Gefäßpermeabilitätsstörungen, z.B. bei Allergien, Urticaria, hämorrhagischer Diathese.
</t>
        </r>
      </text>
    </comment>
    <comment ref="A156" authorId="0" shapeId="0" xr:uid="{00000000-0006-0000-0500-000025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Synthetische Prostaglandin-Injektionslösung 
</t>
        </r>
      </text>
    </comment>
    <comment ref="A158" authorId="0" shapeId="0" xr:uid="{00000000-0006-0000-0500-000026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Alkylamin-Antihistaminika</t>
        </r>
      </text>
    </comment>
    <comment ref="A161" authorId="0" shapeId="0" xr:uid="{00000000-0006-0000-0500-000027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Anästhesie</t>
        </r>
      </text>
    </comment>
    <comment ref="A163" authorId="0" shapeId="0" xr:uid="{00000000-0006-0000-0500-000028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Lokalanästhesie</t>
        </r>
      </text>
    </comment>
    <comment ref="A167" authorId="0" shapeId="0" xr:uid="{00000000-0006-0000-0500-000029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Kein Antibiotikum</t>
        </r>
      </text>
    </comment>
    <comment ref="A168" authorId="0" shapeId="0" xr:uid="{00000000-0006-0000-0500-00002A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Antiphlogistische, analgetische und antipyretische Therapie</t>
        </r>
      </text>
    </comment>
    <comment ref="A170" authorId="0" shapeId="0" xr:uid="{00000000-0006-0000-0500-00002B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Kein Antibiotikum</t>
        </r>
      </text>
    </comment>
    <comment ref="A192" authorId="0" shapeId="0" xr:uid="{00000000-0006-0000-0500-00002C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Antiparasitics</t>
        </r>
      </text>
    </comment>
    <comment ref="A194" authorId="0" shapeId="0" xr:uid="{00000000-0006-0000-0500-00002D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Improvement of the conception rate.</t>
        </r>
      </text>
    </comment>
    <comment ref="A200" authorId="0" shapeId="0" xr:uid="{00000000-0006-0000-0500-00002E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Sedation/Analgesia/Muscle relaxation</t>
        </r>
      </text>
    </comment>
    <comment ref="A201" authorId="0" shapeId="0" xr:uid="{00000000-0006-0000-0500-00002F000000}">
      <text>
        <r>
          <rPr>
            <b/>
            <sz val="9"/>
            <color indexed="81"/>
            <rFont val="Segoe UI"/>
            <family val="2"/>
          </rPr>
          <t>Munoz Ardila, Andrea:</t>
        </r>
        <r>
          <rPr>
            <sz val="9"/>
            <color indexed="81"/>
            <rFont val="Segoe UI"/>
            <family val="2"/>
          </rPr>
          <t xml:space="preserve">
Sedation/Analgesia/Muscle relaxation</t>
        </r>
      </text>
    </comment>
  </commentList>
</comments>
</file>

<file path=xl/sharedStrings.xml><?xml version="1.0" encoding="utf-8"?>
<sst xmlns="http://schemas.openxmlformats.org/spreadsheetml/2006/main" count="1764" uniqueCount="571">
  <si>
    <t>Sonstiges</t>
  </si>
  <si>
    <t>Einheit</t>
  </si>
  <si>
    <t>Route</t>
  </si>
  <si>
    <t>Critical 
[0 = no; 1 = yes]</t>
  </si>
  <si>
    <t>Critically Important
[mg/PCU]</t>
  </si>
  <si>
    <t>Antibiotic Use 
[mg/PCU]</t>
  </si>
  <si>
    <t>Total Antibiotic Use 
[mg/PCU]</t>
  </si>
  <si>
    <t>Total Critically Important
[mg/PCU]</t>
  </si>
  <si>
    <t>Total PCU</t>
  </si>
  <si>
    <t>Synulox Lactating Cow Intramammary Suspension</t>
  </si>
  <si>
    <t>Total mg/PCU in herd</t>
  </si>
  <si>
    <t>Dexatat - No Antibiotic</t>
  </si>
  <si>
    <t>Rezeptal - No Antibiotic</t>
  </si>
  <si>
    <t>Estrumate - No Antibiotic</t>
  </si>
  <si>
    <t>Injectable</t>
  </si>
  <si>
    <t>Ingel-Mamycin-forte</t>
  </si>
  <si>
    <t>Lactatingtube</t>
  </si>
  <si>
    <t>Drytube</t>
  </si>
  <si>
    <t>Fertigest 0,004 mg/ml - No Antibiotic</t>
  </si>
  <si>
    <t>Other (IU, Oral, Pessary, Footbath)</t>
  </si>
  <si>
    <t>Total</t>
  </si>
  <si>
    <t>Duphamox 150 mg/ml Suspension for Injection</t>
  </si>
  <si>
    <t>Footbath</t>
  </si>
  <si>
    <t>IU</t>
  </si>
  <si>
    <t>Oral</t>
  </si>
  <si>
    <t>Dinolytic - No Antibiotic</t>
  </si>
  <si>
    <t>Pessary</t>
  </si>
  <si>
    <t>Engemycin 10 % (DD) Solution for injection</t>
  </si>
  <si>
    <t>Drug / Medikament</t>
  </si>
  <si>
    <t>Active</t>
  </si>
  <si>
    <t>Route / Verabreichungsweg</t>
  </si>
  <si>
    <t>Dose
mg/kg (or mg/tube)</t>
  </si>
  <si>
    <t>Treatments (days/Tubes)</t>
  </si>
  <si>
    <t>Dose per Tx 
[=D]</t>
  </si>
  <si>
    <t>mg/unit</t>
  </si>
  <si>
    <t>Units</t>
  </si>
  <si>
    <t>DDD</t>
  </si>
  <si>
    <t>DCD</t>
  </si>
  <si>
    <t>Weight (Kg)</t>
  </si>
  <si>
    <t>Advocin 180 mg/ml Solution for Injection for Cattle</t>
  </si>
  <si>
    <t>Danofloxacin 
Mesylate</t>
  </si>
  <si>
    <t>ml</t>
  </si>
  <si>
    <t>Injizierbar</t>
  </si>
  <si>
    <t>?</t>
  </si>
  <si>
    <t>Dairy cow</t>
  </si>
  <si>
    <t>Advocin 2.5% Solution for Injection</t>
  </si>
  <si>
    <t>Intrammamärer Tuben bei der Laktation</t>
  </si>
  <si>
    <t>IMM</t>
  </si>
  <si>
    <t>Tubes</t>
  </si>
  <si>
    <t>grams</t>
  </si>
  <si>
    <t>Slaughtered Cow</t>
  </si>
  <si>
    <t>Alamycin 100mg/ml Solution for Injection</t>
  </si>
  <si>
    <t>Oxytetracycline</t>
  </si>
  <si>
    <t>Intrammamärer Tuben für trockene Kühe</t>
  </si>
  <si>
    <t>DCT</t>
  </si>
  <si>
    <t>Slaughtered Heifer</t>
  </si>
  <si>
    <t>Alamycin LA 200mg/ml Solution for Injection</t>
  </si>
  <si>
    <t>Fußbad</t>
  </si>
  <si>
    <t>=mg/unit</t>
  </si>
  <si>
    <t>Slaughtered Bullocks and Bulls</t>
  </si>
  <si>
    <t>Alamycin LA 300 Solution for Injection 300mg/ml</t>
  </si>
  <si>
    <t>Orale Produkte &amp; Intrauterine Lösungen</t>
  </si>
  <si>
    <t>Slaughtered Calves and Young Cattle</t>
  </si>
  <si>
    <t>Amfipen LA 100 mg/ml suspension for injection</t>
  </si>
  <si>
    <t>Ampicillin</t>
  </si>
  <si>
    <t>Amoxan 70</t>
  </si>
  <si>
    <t>Amoxicillin</t>
  </si>
  <si>
    <t>https://www.vetpharm.uzh.ch/tak/05000000/00052148.01</t>
  </si>
  <si>
    <t>ml or mg</t>
  </si>
  <si>
    <t>Amoxypen Injection 150 mg/ml Suspension for injection</t>
  </si>
  <si>
    <t>Amoxicillin Trihydrate</t>
  </si>
  <si>
    <t>Amoxypen LA 150 mg/ml Suspension for injection</t>
  </si>
  <si>
    <t>Apotil 300 mg/ml Solution for Injection</t>
  </si>
  <si>
    <t>Tilmicosin</t>
  </si>
  <si>
    <t>Apralan Soluble Powder for Oral Solution</t>
  </si>
  <si>
    <t>Apramycin Sulfate</t>
  </si>
  <si>
    <t>Baycox Multi 50 mg/ml Suspension</t>
  </si>
  <si>
    <t>Toltrazuril</t>
  </si>
  <si>
    <t>Baytril 100 mg/ml</t>
  </si>
  <si>
    <t>Enrofloxacin</t>
  </si>
  <si>
    <t>Baytril 2.5% Oral Solution</t>
  </si>
  <si>
    <t>Baytril 50 mg/ml</t>
  </si>
  <si>
    <t>Baytril Max 100 mg/ml</t>
  </si>
  <si>
    <t>Benestermycin</t>
  </si>
  <si>
    <t>Benzylpenicillin
Penicilline</t>
  </si>
  <si>
    <t>https://medikamio.com/de-at/medikamente/benestermycin-suspension-zur-intramammaren-anwendung-fur-rinder/pil</t>
  </si>
  <si>
    <t>Betamox 150mg/ml Suspension for Injection</t>
  </si>
  <si>
    <t>Betamox LA 150mg/ml Suspension for Injection</t>
  </si>
  <si>
    <t>Bimamix Oral Suspension</t>
  </si>
  <si>
    <t>Neomycin</t>
  </si>
  <si>
    <t>Bimotrim Co Injection</t>
  </si>
  <si>
    <t>Sulfadoxine</t>
  </si>
  <si>
    <t>Bimoxyl LA 150 mg/ml</t>
  </si>
  <si>
    <t xml:space="preserve">Amoxicillin </t>
  </si>
  <si>
    <t>Bovaclox DC Intramammary Suspen</t>
  </si>
  <si>
    <t>Cloxacillin</t>
  </si>
  <si>
    <t>Bovaclox DC Xtra Intramammary Suspension</t>
  </si>
  <si>
    <t>Bovigen Scour - No Antibiotic</t>
  </si>
  <si>
    <t>Bovigrip RSP Plus - No Antibiotic</t>
  </si>
  <si>
    <t>Bovocycline Pessary 2000 mg Intrauterine Tablet for Cattle</t>
  </si>
  <si>
    <t>Tetracycline Hydrochloride</t>
  </si>
  <si>
    <t>Butox® Protect 7,5 mg/ml pour on - No Antibiotic</t>
  </si>
  <si>
    <t>Calcitat - No Antibiotic</t>
  </si>
  <si>
    <t>Cefenil Powder and Solvent Solution for Injection</t>
  </si>
  <si>
    <t>Ceftiofur</t>
  </si>
  <si>
    <t>Cefenil RTU 50mg/ml Suspension for Injection</t>
  </si>
  <si>
    <t>Ceffect 25 mg/ml</t>
  </si>
  <si>
    <t>Cefquinome</t>
  </si>
  <si>
    <t>Ceffect LC, 75mg, Intramammary Ointment for Lactating Cows</t>
  </si>
  <si>
    <t>Cefimam DC</t>
  </si>
  <si>
    <t>Cefimam LC, 75mg Intramammary Ointment for Lactating Cows</t>
  </si>
  <si>
    <t>Cefokel 50 mg/ml, Suspension for Injection for Pigs and Cattle</t>
  </si>
  <si>
    <t>Cefshot DC 250mg Intramammary Suspension for Cattle</t>
  </si>
  <si>
    <t>Cephalonium</t>
  </si>
  <si>
    <t>Ceftiocyl 50mg/ml suspension for injection for cattle and pigs</t>
  </si>
  <si>
    <t>Cemay 50 mg/ml</t>
  </si>
  <si>
    <t>Cephaguard DC 150 mg intramammary ointment</t>
  </si>
  <si>
    <t>Ceporex 180 mg/ml Suspension for injection for cattle, cats and dogs</t>
  </si>
  <si>
    <t>Sodium Cefalexin</t>
  </si>
  <si>
    <t>Cepravin Dry Cow 250 mg Intramammary suspension</t>
  </si>
  <si>
    <t>Cevaxel RTU 50 mg/ml</t>
  </si>
  <si>
    <t>Chloromed 150mg/g Oral Powder for Calves</t>
  </si>
  <si>
    <t>Chlortetracycline hydrochloride</t>
  </si>
  <si>
    <t>Clamoxyl Ready-to-Use 150 mg/ml suspension for injection</t>
  </si>
  <si>
    <t>Clenovet - No Antibiotic</t>
  </si>
  <si>
    <t>Cobactan 2.5% Injection</t>
  </si>
  <si>
    <t xml:space="preserve">Cefquinome </t>
  </si>
  <si>
    <t>Cobactan 4.5 % Powder and solvent for solution for injection for horse and cattle</t>
  </si>
  <si>
    <t>Cobactan MC Intramammary suspension 75 mg Milking cow</t>
  </si>
  <si>
    <t xml:space="preserve">Coliplus 2,000,000 IU/ml </t>
  </si>
  <si>
    <t>Colistin </t>
  </si>
  <si>
    <t>Combiclav Lactating Cow Intramammary Suspension</t>
  </si>
  <si>
    <t>Combiclav Suspension for Injection</t>
  </si>
  <si>
    <t>Curacef Duo suspension for injection for cattle</t>
  </si>
  <si>
    <t>Cyclosol® LA 200 mg/ml Solution for Injection</t>
  </si>
  <si>
    <t>Depocillin 300 mg/ml Suspension for injection</t>
  </si>
  <si>
    <t>Procaine Benzylpenicillin</t>
  </si>
  <si>
    <t>Devomycin 250mg/ml Solution for Injection</t>
  </si>
  <si>
    <t>Streptomycin Sulphate</t>
  </si>
  <si>
    <t>Dexa ject - No Antibiotic</t>
  </si>
  <si>
    <t>Dexamethason - No Antibiotic</t>
  </si>
  <si>
    <t>Diatrim</t>
  </si>
  <si>
    <t>Sulfadiazin 
Trimethoprim</t>
  </si>
  <si>
    <t>https://medikamio.com/de-at/medikamente/diatrim-200-mgml-40-mgml-injektionslosung/pil</t>
  </si>
  <si>
    <t>Diuren - No Antibiotic</t>
  </si>
  <si>
    <t xml:space="preserve">Doxx-Sol 500mg/g powder for use in drinking water/milk replacer for pre-ruminant calves, pigs and chickens
</t>
  </si>
  <si>
    <t>Doxycycline Hyclate</t>
  </si>
  <si>
    <t>Draxxin 100 mg/ml solution for injection for cattle &amp; pigs</t>
  </si>
  <si>
    <t>Tulathromycin</t>
  </si>
  <si>
    <t>Duofast Intramammary Suspension</t>
  </si>
  <si>
    <t>Trimethoprim</t>
  </si>
  <si>
    <t>Duphatrim IS Injectable Solution</t>
  </si>
  <si>
    <t>Sulfadiazine</t>
  </si>
  <si>
    <t>Eficur</t>
  </si>
  <si>
    <t>Oxytetracycline Hydrochloride</t>
  </si>
  <si>
    <t>Engemycin LA 200 mg/ml Solution for injection</t>
  </si>
  <si>
    <t>Oxytetracycline Dihydrate</t>
  </si>
  <si>
    <t>Enroxil® 100 mg/ml Solution for Injection for Cattle and Pigs</t>
  </si>
  <si>
    <t>Enzaprost - No Antibiotic</t>
  </si>
  <si>
    <t>Excenel 50 mg/ml Sterile Powder for Solution for Injection</t>
  </si>
  <si>
    <t>Excenel Flow 50 mg/ml Suspension for Injection for Pigs &amp; Cattle</t>
  </si>
  <si>
    <t>Fenflor® 300 mg/ml Solution for Injection for Cattle</t>
  </si>
  <si>
    <t>Florfenicol</t>
  </si>
  <si>
    <t xml:space="preserve">Fenoflox 100mg/ml Solution for Injection for Cattle and Pigs
 </t>
  </si>
  <si>
    <t xml:space="preserve">Fenoflox 50mg/ml Solution for Injection for Cattle, Pigs, Dogs and Cats
 </t>
  </si>
  <si>
    <t xml:space="preserve">Florkem 300 mg/ml </t>
  </si>
  <si>
    <t xml:space="preserve">Flunixine® NEO Biokema </t>
  </si>
  <si>
    <t>Flunixin</t>
  </si>
  <si>
    <t>https://www.vetpharm.uzh.ch/tak/05000000/00056110.01</t>
  </si>
  <si>
    <t>Fluomizin 10 mg Vaginaltabletten - No Antibiotic</t>
  </si>
  <si>
    <t>Forcyl 160 ml/ml Solution for Injection for Cattle</t>
  </si>
  <si>
    <t>Marbofloxacin</t>
  </si>
  <si>
    <t>Framomycin 150 mg/ml Solution for Injection</t>
  </si>
  <si>
    <t>Framycetin Sulfate</t>
  </si>
  <si>
    <t>Gelstamp Multidosis</t>
  </si>
  <si>
    <t>Ampicillin
Cloxacillin</t>
  </si>
  <si>
    <t>https://imedikament.de/gelstamp-multidosis</t>
  </si>
  <si>
    <t>Hexasol LA Solution for Injection for Cattle</t>
  </si>
  <si>
    <t>Penethamate hydriodide</t>
  </si>
  <si>
    <t>Intradine</t>
  </si>
  <si>
    <t>Sulphadimidine</t>
  </si>
  <si>
    <t>Kefloril 300mg/ml Solution for injection for cattle and pigs</t>
  </si>
  <si>
    <t>Kelacyl 100 mg/ml, Solution for Injection for Cattle and Pigs</t>
  </si>
  <si>
    <t>Ketoprosol - No Antibiotic</t>
  </si>
  <si>
    <t>Lactaclox Intramammary Infusion</t>
  </si>
  <si>
    <t>Lincocin Forte S Intramammary Solution</t>
  </si>
  <si>
    <t>Lincomycin</t>
  </si>
  <si>
    <t>Linco-Sol 400mg/g powder Footbath</t>
  </si>
  <si>
    <t>Linco-Spectin 100, 222/444.7 mg/g Powder for use in drinking water for pigs &amp; chickens</t>
  </si>
  <si>
    <t xml:space="preserve">Mamyzin 269.5 mg/ml </t>
  </si>
  <si>
    <t>Marbocyl™ 10% Solution for Injection</t>
  </si>
  <si>
    <t>Marbocyl™ 2% Solution for Injection</t>
  </si>
  <si>
    <t>Marbocyl™ Bolus 50 mg Tablet</t>
  </si>
  <si>
    <t>Marbonor 100mg/ml Solution for Injection for Cattle and Pigs</t>
  </si>
  <si>
    <t>Marbonor SOLO 100mg/ml Solution for Injection for Cattle</t>
  </si>
  <si>
    <t xml:space="preserve">Marbox 100 mg/ml </t>
  </si>
  <si>
    <t>Mastiplan LC 300mg/20mg (Cefapirin/Prednisolone), intramammary suspension for lactating cows</t>
  </si>
  <si>
    <t>Cephapirin</t>
  </si>
  <si>
    <t>Meloxidyl 20 mg - No Antibiotic</t>
  </si>
  <si>
    <t>Metacam - No Antibiotic</t>
  </si>
  <si>
    <t>Metricure 500 mg Intrauterine suspension</t>
  </si>
  <si>
    <t xml:space="preserve">Micotil 300mg/ml Solution for Injection
</t>
  </si>
  <si>
    <t>Milbotyl 300mg/ml Solution for Injection</t>
  </si>
  <si>
    <t>Multiject IMM Intramammary Suspension</t>
  </si>
  <si>
    <t>Procaine Penicillin</t>
  </si>
  <si>
    <t>Multishield DC</t>
  </si>
  <si>
    <t>Neomycin Sulphate</t>
  </si>
  <si>
    <t>Orbenin Extra Dry Cow 600 mg Intramammary Suspension</t>
  </si>
  <si>
    <t>Pharmasin 200mg/ml solution for injection for cattle and pigs.</t>
  </si>
  <si>
    <t>Procain Penicillin G</t>
  </si>
  <si>
    <t>Sulphix 200/40 mg/ml</t>
  </si>
  <si>
    <t>Terramycin/LA 200 mg/ml Solution for Injection</t>
  </si>
  <si>
    <t>Tetroxy Vet 200mg/ml</t>
  </si>
  <si>
    <t xml:space="preserve">Ubrolexin Intramammary </t>
  </si>
  <si>
    <t>Vecoxan - No Antibiotic</t>
  </si>
  <si>
    <t>Vetrimoxin L.A. 150mg/ml suspension for injection for cattle and pigs</t>
  </si>
  <si>
    <t>Invert 40% - No Antibiotic</t>
  </si>
  <si>
    <t>Genabil - No Antibiotic</t>
  </si>
  <si>
    <t>Glucose Lösung 40% - No Antibiotic</t>
  </si>
  <si>
    <t>Jecuplex - No Antibiotic</t>
  </si>
  <si>
    <t>Borgal 24%</t>
  </si>
  <si>
    <t>https://www.vetpharm.uzh.ch/tak/03000000/00036732.01</t>
  </si>
  <si>
    <t>Sulfadoxin
Trimethoprim</t>
  </si>
  <si>
    <t>Tetra-Bol 2000 mg</t>
  </si>
  <si>
    <t>Penicillin-Dihydrostreptomycin</t>
  </si>
  <si>
    <t>Vetophos 100 mg/ml - No Antibiotic</t>
  </si>
  <si>
    <t>Dinalgen 150 mg - No Antibiotic</t>
  </si>
  <si>
    <t xml:space="preserve">Calcium Plus - No Antibiotic </t>
  </si>
  <si>
    <t>https://www.vetpharm.uzh.ch/tak/06000000/00063082.01</t>
  </si>
  <si>
    <t>Buscopan - No Antibiotic</t>
  </si>
  <si>
    <t>https://www.vetpharm.uzh.ch/tak/03000000/00035186.01</t>
  </si>
  <si>
    <t xml:space="preserve">Tetra-Sleecol 2000 mg </t>
  </si>
  <si>
    <t>Nux vomica-Homaccord - No Antibiotic</t>
  </si>
  <si>
    <t>NoroSeal - No Antibiotic</t>
  </si>
  <si>
    <t>Masti Veyxym - No Antibiotic</t>
  </si>
  <si>
    <t>https://imedikament.de/masti-veyxym-mastitis-salbe-ohne-antibiotika</t>
  </si>
  <si>
    <t>Bayofly - No Antibiotic</t>
  </si>
  <si>
    <t>https://tiergesundheit.bayer.de/omr/online/2786.pdf</t>
  </si>
  <si>
    <t>Pro Pen 3000</t>
  </si>
  <si>
    <t>Pronestesic - No Antibiotic</t>
  </si>
  <si>
    <t>Gabbrovet - No Antibiotic</t>
  </si>
  <si>
    <t>https://medikamio.com/de-at/medikamente/gabbrovet-140-mgml-losung-zum-eingeben-uber-trinkwasser-milch-oder-milchaustauscher-fur-saugkalber-und-schweine/pil</t>
  </si>
  <si>
    <t>Vitamin B-Komplex - No Antibiotic</t>
  </si>
  <si>
    <t>Phenasol - No Antibiotic</t>
  </si>
  <si>
    <t>Isocain - No Antibiotic</t>
  </si>
  <si>
    <t>https://imedikament.de/isocain-ad-us-vet</t>
  </si>
  <si>
    <t>Neopen</t>
  </si>
  <si>
    <t>Cydectin - No Antibiotic</t>
  </si>
  <si>
    <t>Paravert - No Antibiotic</t>
  </si>
  <si>
    <t>Vitamin E-Komplex - No Antibiotic</t>
  </si>
  <si>
    <t>Elektrosel - No Antibiotic</t>
  </si>
  <si>
    <t>Natriumhydrogencarbonat - No Antibiotic</t>
  </si>
  <si>
    <t>Nafpenzal</t>
  </si>
  <si>
    <t>Dihydrostreptomycin 
Nafcillin 
Penicillin G-Procain</t>
  </si>
  <si>
    <t>https://www.vetpharm.uzh.ch/tak/03000000/00037875.01</t>
  </si>
  <si>
    <t>Naxcel 200 mg/ml Suspension for Injection for Cattle</t>
  </si>
  <si>
    <t>Benzylpenicillin</t>
  </si>
  <si>
    <t>Norfenicol 300mg/ml Solution for Injection for Cattle and Swine</t>
  </si>
  <si>
    <t>Florfenico</t>
  </si>
  <si>
    <t>Norobrittin 15% w/v Suspension for Injection</t>
  </si>
  <si>
    <t>Norocillin Injection</t>
  </si>
  <si>
    <t>Penicillin G</t>
  </si>
  <si>
    <t>Noroclav Injection</t>
  </si>
  <si>
    <t>Noroclav Lactating Cow Intramammary Suspension</t>
  </si>
  <si>
    <t>Noroclox DC 500mg Intramammary Suspension</t>
  </si>
  <si>
    <t>Norodine 24 Solution for Injection</t>
  </si>
  <si>
    <t>Norodine Bolus Tablets</t>
  </si>
  <si>
    <t>https://www.vetpharm.uzh.ch/tak/06000000/00066827.01</t>
  </si>
  <si>
    <t>Norotril Max 100mg/ml Solution for Injection</t>
  </si>
  <si>
    <t>Nuflor 300 mg/ml solution for injection for cattle and sheep</t>
  </si>
  <si>
    <t>Nuflor Minidose 450 mg/ml solution for injection for cattle</t>
  </si>
  <si>
    <t>https://medikamio.com/de-at/medikamente/nux-vomica-homaccord-injektionslosung-fur-tiere/pil</t>
  </si>
  <si>
    <t>Occrycetin Bolus 500mg Tablet</t>
  </si>
  <si>
    <t>Orbenin Dry Cow 500 mg Intramammary Suspension</t>
  </si>
  <si>
    <t>Cloxacillin Benzathine</t>
  </si>
  <si>
    <t>Orbenin L.A. 200 mg Intramammary Suspension</t>
  </si>
  <si>
    <t>Cloxacillin Sodium</t>
  </si>
  <si>
    <t>Orbeseal - No Antibiotic</t>
  </si>
  <si>
    <t>https://www.vetpharm.uzh.ch/tak/05000000/00056745.01</t>
  </si>
  <si>
    <t>Ovarelin - No Antibiotic</t>
  </si>
  <si>
    <t>Parofor 70mg/g powder for use in drinking water, milk or milk replacer for pre-ruminant cattle and pigs</t>
  </si>
  <si>
    <t>Paromomycin sulphate</t>
  </si>
  <si>
    <t>Pathocef 250 mg Intramammary Suspension</t>
  </si>
  <si>
    <t>Cefoperazone</t>
  </si>
  <si>
    <t>Pen &amp; Strep Suspension For Injection</t>
  </si>
  <si>
    <t>https://imedikament.de/penicillin-dihydrostreptomycin-suspension-45-mega-ad-us-vet</t>
  </si>
  <si>
    <t>Penicillin Natrium</t>
  </si>
  <si>
    <t>C:\Users\MunozA\Documents\Sustainability I\Clients\Mc Donald's\Germany\BEST Beef\Projects\ABx 2.0\Antibiotics</t>
  </si>
  <si>
    <t>Permacyl</t>
  </si>
  <si>
    <t>Penethamate Hydriodide</t>
  </si>
  <si>
    <t>PGF Veyx forte - No Antibiotic</t>
  </si>
  <si>
    <t>Tylosin</t>
  </si>
  <si>
    <t>https://imedikament.de/phenasol-10-mg-ml-injektionsloesung-fuer-rinder</t>
  </si>
  <si>
    <t>Powerflox 100 ad us. vet., Injektionslösung</t>
  </si>
  <si>
    <t>https://www.vetpharm.uzh.ch/tak/06000000/00061880.01</t>
  </si>
  <si>
    <t>https://medikamio.com/de-at/medikamente/procain-penicillin-g-ogris-300-mgml-suspension-zur-intramammaren-anwendung-fur-kuhe/pil</t>
  </si>
  <si>
    <t>Procamidor 20 mg/ml - No Antibiotic</t>
  </si>
  <si>
    <t>https://imedikament.de/pronestesic-40-mg-ml-0-036-mg-ml-injektionsloesung-fuer-pferde-rinder-schweine-und-schafe</t>
  </si>
  <si>
    <t>Pulmotil AC</t>
  </si>
  <si>
    <t>Readycef 50mg/mL suspension for injection for swine and cattle</t>
  </si>
  <si>
    <t>Resflor 300/16.5 mg/ml Solution for Injection for Cattle</t>
  </si>
  <si>
    <t>Romefen - No Antibiotic</t>
  </si>
  <si>
    <t>Selectan</t>
  </si>
  <si>
    <t xml:space="preserve">Florfenicol
</t>
  </si>
  <si>
    <t>Sensiblex - No Antibiotic</t>
  </si>
  <si>
    <t>Shotaflor 300mg/mL Solution for Injection for Cattle</t>
  </si>
  <si>
    <t>Spectam injectable 10%</t>
  </si>
  <si>
    <t>Spectinomycin</t>
  </si>
  <si>
    <t>Strinacin II Tablets</t>
  </si>
  <si>
    <t>Trimethoprim
Sulfadoxin</t>
  </si>
  <si>
    <t>https://imedikament.de/sulphix/fachinformation</t>
  </si>
  <si>
    <t>Synulox Bolus 500 mg film-coated tablet</t>
  </si>
  <si>
    <t>Synulox Ready-To-Use Suspension for Injection</t>
  </si>
  <si>
    <t>Tetracyclin</t>
  </si>
  <si>
    <t>https://imedikament.de/tetra-bol-2000-mg</t>
  </si>
  <si>
    <t>Tetra-Delta Intramammary Suspension</t>
  </si>
  <si>
    <t>Dihydrostreptomycin</t>
  </si>
  <si>
    <t>file:///C:/Users/MunozA/Documents/Sustainability%20I/Clients/Mc%20Donald's/Germany/BEST%20Beef/Projects/ABx%202.0/Antibiotics/Tetra-Sleecol_2000mg-6018-K2-3-1016.pdf</t>
  </si>
  <si>
    <t>Tilmovet 250mg/ml Concentrate for Oral Solution</t>
  </si>
  <si>
    <t>Tribrissen 48 % suspension for injection</t>
  </si>
  <si>
    <t>Tylan 200, 200mg/ml Solution for Injection</t>
  </si>
  <si>
    <t>Tylosin Phosphate</t>
  </si>
  <si>
    <t>Tylan Soluble Powder for Oral Solution</t>
  </si>
  <si>
    <t>Tylosin Tartrate</t>
  </si>
  <si>
    <t>Tylan Soluble Powder for Oral Solution Footbath</t>
  </si>
  <si>
    <t>Ubro Red Dry Cow</t>
  </si>
  <si>
    <t>Ubro Yellow Milking Cow Intramammary Suspension</t>
  </si>
  <si>
    <t>Cefalexin</t>
  </si>
  <si>
    <t>https://www.vetpharm.uzh.ch/tak/05000000/00059449.01</t>
  </si>
  <si>
    <t>Ultrapen LA 30% Suspension for Injection</t>
  </si>
  <si>
    <t>Procaine Benzyl Penicillin</t>
  </si>
  <si>
    <t>Vetagent® ad us. vet.</t>
  </si>
  <si>
    <t>Gentamicin</t>
  </si>
  <si>
    <t>https://www.vetpharm.uzh.ch/tak/04000000/00046039.01</t>
  </si>
  <si>
    <t>https://imedikament.de/vetophos</t>
  </si>
  <si>
    <t>Vetriproc 30%</t>
  </si>
  <si>
    <t>Benzylpenicillin
Procain</t>
  </si>
  <si>
    <t>https://imedikament.de/vetriproc-30</t>
  </si>
  <si>
    <t>Veyxyl LA 20%, 200mg/ml</t>
  </si>
  <si>
    <t>https://imedikament.de/veyxyl-la-20-200mg-ml-injektionssuspension?doc=1</t>
  </si>
  <si>
    <t>Xylasin 2% - No Antibiotic</t>
  </si>
  <si>
    <t>Xylaxin - No Antibiotic</t>
  </si>
  <si>
    <t>Zactran 150mg/ml solution for injection for cattle and pigs</t>
  </si>
  <si>
    <t>Gamithromycin</t>
  </si>
  <si>
    <t>Zeleris 400 mg/ml + 5 mg/ml solution for injection for cattle</t>
  </si>
  <si>
    <t>Zuprevo 180 mg/ml solution for injection for cattle</t>
  </si>
  <si>
    <t>Tildipirosin</t>
  </si>
  <si>
    <t>Calves</t>
  </si>
  <si>
    <t>Dairy cows</t>
  </si>
  <si>
    <t>Dry cows</t>
  </si>
  <si>
    <t xml:space="preserve">Heifers </t>
  </si>
  <si>
    <t>Steers</t>
  </si>
  <si>
    <t>Bulls</t>
  </si>
  <si>
    <t>On-farm animals</t>
  </si>
  <si>
    <t>Number</t>
  </si>
  <si>
    <t xml:space="preserve"> Live weight </t>
  </si>
  <si>
    <t>Category</t>
  </si>
  <si>
    <t>Live weight unit</t>
  </si>
  <si>
    <t>Kilograms</t>
  </si>
  <si>
    <t>Data</t>
  </si>
  <si>
    <t>Kategoria bydła</t>
  </si>
  <si>
    <t>Krowa</t>
  </si>
  <si>
    <t>Byk</t>
  </si>
  <si>
    <t>Jałówka</t>
  </si>
  <si>
    <t>Cielę</t>
  </si>
  <si>
    <t>Liczba leczonych zwierząt</t>
  </si>
  <si>
    <t>Ilość zastrzyków
(liczba podań)</t>
  </si>
  <si>
    <t>Sposób podania
(Route)</t>
  </si>
  <si>
    <t>Jednostka
(Unit)</t>
  </si>
  <si>
    <t>Rozpoznanie
(Treatments)</t>
  </si>
  <si>
    <t>Antybiotyk
(Product)</t>
  </si>
  <si>
    <t>Antybiotyki krytyczne
[mg/PCU]
(Critically Important)
[mg/PCU]</t>
  </si>
  <si>
    <t>Zużycie antybiotyków [mg/PCU]
(Antibiotic Use)
[mg/PCU]</t>
  </si>
  <si>
    <t>Imię i nazwisko</t>
  </si>
  <si>
    <t>Numer siedziby stada</t>
  </si>
  <si>
    <t>Data rozpoczęcia</t>
  </si>
  <si>
    <t>Data zakończenia</t>
  </si>
  <si>
    <t>Krowy</t>
  </si>
  <si>
    <t>Jałówki</t>
  </si>
  <si>
    <t>Cielęta (poniżej 6 mies.)</t>
  </si>
  <si>
    <t>Byki</t>
  </si>
  <si>
    <t>Koniec poprzedniego okresu</t>
  </si>
  <si>
    <t>Koniec bieżącego okresu</t>
  </si>
  <si>
    <t>Ilość bydła w stadzie</t>
  </si>
  <si>
    <t>Informacje dodatkowe</t>
  </si>
  <si>
    <t>Wydajność mleczna (roczna)</t>
  </si>
  <si>
    <t>Rasy bydła (krowy, jałówki)</t>
  </si>
  <si>
    <t>Rasy bydła (byki)</t>
  </si>
  <si>
    <t>Informacje ogólne</t>
  </si>
  <si>
    <t>Średnia</t>
  </si>
  <si>
    <t>Dawka dzienna</t>
  </si>
  <si>
    <t>Ilość podana
(Amount used)</t>
  </si>
  <si>
    <t>Leczenie ogólne</t>
  </si>
  <si>
    <t>Waga zwierząt</t>
  </si>
  <si>
    <t>Mastitis</t>
  </si>
  <si>
    <t>Antybiogram
[0=nie; 1=tak]</t>
  </si>
  <si>
    <t>Krytyczny
[0=nie; 1=tak
(Critical)
[0 = no; 1 = yes]</t>
  </si>
  <si>
    <t>Liczba tubostrzykawek
(przez cały okres leczenia)
(liczba podań)</t>
  </si>
  <si>
    <t>Antybiotyk
(nazwa preparatu w tubostrzykawce)
(Product)</t>
  </si>
  <si>
    <t>Zasuszanie</t>
  </si>
  <si>
    <t>Liczba tubostrzykawek
(przez cały okres leczenia)
(Amount used)</t>
  </si>
  <si>
    <t>Krytyczne
(szt.)</t>
  </si>
  <si>
    <t>Liczba tubostrzykawek
(przez cały okres leczenia)
(liczba podań)
(Amount used)</t>
  </si>
  <si>
    <t>Zużycie razem
(mg/PCU)</t>
  </si>
  <si>
    <t>Zużucie krytycznych
(mg/PCU)</t>
  </si>
  <si>
    <t>Razem</t>
  </si>
  <si>
    <t>Krytyczne
(%)</t>
  </si>
  <si>
    <t>Klasa EMA</t>
  </si>
  <si>
    <t>Droga Podawania</t>
  </si>
  <si>
    <t>Indywidualne leczenie miejscowe (np. podanie dowymieniowe, krople do oczu lub uszu)</t>
  </si>
  <si>
    <t>Indywidualne leczenie pozajelitowe (dożylnie, domięśniowo, podskórnie)</t>
  </si>
  <si>
    <t>Indywidualne leczenie doustne (tabletki, bolus doustny)</t>
  </si>
  <si>
    <t>Pozajelitowe stosowanie antybiotyków w stadach (metafilaksja), tylko jeśli jest odpowiednio uzasadnione</t>
  </si>
  <si>
    <t>Doustne stosowanie antybiotyków w stadach wodzie do picia / z preparatem mlekozastępczym (metafilaksja), tylko jeśli są odpowiednio uzasadnione przypadki</t>
  </si>
  <si>
    <t>Doustne stosowane antybiotyków w stadach w postaci paszy lub premiksów (metafilaksja), tylko w owiednio uzasadnionym przypadku</t>
  </si>
  <si>
    <t>Ampliclox</t>
  </si>
  <si>
    <t>Aniclox</t>
  </si>
  <si>
    <t>Bacolam</t>
  </si>
  <si>
    <t>Biotyl</t>
  </si>
  <si>
    <t>Combi Ject</t>
  </si>
  <si>
    <t>Cloxamed</t>
  </si>
  <si>
    <t>Cobactan</t>
  </si>
  <si>
    <t>Fatroxymine DC</t>
  </si>
  <si>
    <t>Enrobioflox 5%</t>
  </si>
  <si>
    <t>Lincocin</t>
  </si>
  <si>
    <t>Masticef</t>
  </si>
  <si>
    <t>Masticlox</t>
  </si>
  <si>
    <t>MastiJet Fort</t>
  </si>
  <si>
    <t>Mastiplan</t>
  </si>
  <si>
    <t>Mastisan</t>
  </si>
  <si>
    <t>Multimastit</t>
  </si>
  <si>
    <t>FLORON INJ</t>
  </si>
  <si>
    <t>gabbrocol</t>
  </si>
  <si>
    <t>Oxytet</t>
  </si>
  <si>
    <t>Oxytet LA</t>
  </si>
  <si>
    <t>Oxytet XLA</t>
  </si>
  <si>
    <t>Pen-strep</t>
  </si>
  <si>
    <t>peanilin 30</t>
  </si>
  <si>
    <t>Potencil</t>
  </si>
  <si>
    <t xml:space="preserve">spirovet </t>
  </si>
  <si>
    <t>Tetradur LA 300</t>
  </si>
  <si>
    <t>Tiamfenicol</t>
  </si>
  <si>
    <t>Tylbian</t>
  </si>
  <si>
    <t>Tylucyl</t>
  </si>
  <si>
    <t>Vetrimoxin</t>
  </si>
  <si>
    <t>Tetra Delta</t>
  </si>
  <si>
    <t>Ubrolexin</t>
  </si>
  <si>
    <t>Ubrostar</t>
  </si>
  <si>
    <t>Metricure</t>
  </si>
  <si>
    <t>Penisulfamid</t>
  </si>
  <si>
    <t>Metrisan</t>
  </si>
  <si>
    <t>Enro</t>
  </si>
  <si>
    <t>Shotapen</t>
  </si>
  <si>
    <t>Meloxidyl</t>
  </si>
  <si>
    <t>Virbactan</t>
  </si>
  <si>
    <t>Longamox</t>
  </si>
  <si>
    <t>Pathozone</t>
  </si>
  <si>
    <t>Synergal</t>
  </si>
  <si>
    <t>Tetravet</t>
  </si>
  <si>
    <t>Cefa safe</t>
  </si>
  <si>
    <t>Naxcel</t>
  </si>
  <si>
    <t>Advocin</t>
  </si>
  <si>
    <t>Marbox</t>
  </si>
  <si>
    <t>Eres</t>
  </si>
  <si>
    <t>Excenel</t>
  </si>
  <si>
    <t>Draxin</t>
  </si>
  <si>
    <t>Albiotic</t>
  </si>
  <si>
    <t>Enrodexil</t>
  </si>
  <si>
    <t>Oxymed</t>
  </si>
  <si>
    <t>Orbenin</t>
  </si>
  <si>
    <t>Synulox</t>
  </si>
  <si>
    <t>Cefquinor</t>
  </si>
  <si>
    <t>Zeleris</t>
  </si>
  <si>
    <t>Pennilin</t>
  </si>
  <si>
    <t>Micorion</t>
  </si>
  <si>
    <t>Vetrimax</t>
  </si>
  <si>
    <t>Folvent</t>
  </si>
  <si>
    <t>Canbielert</t>
  </si>
  <si>
    <t>Zastrzyk/ iniekcja</t>
  </si>
  <si>
    <t>Tubostrzykawka</t>
  </si>
  <si>
    <t>Kąpiel racic</t>
  </si>
  <si>
    <t>Domacicznie</t>
  </si>
  <si>
    <t>Doustnie</t>
  </si>
  <si>
    <t>Inny</t>
  </si>
  <si>
    <t>B</t>
  </si>
  <si>
    <t>D</t>
  </si>
  <si>
    <t>Ryzyko powstawania oporności
1-6</t>
  </si>
  <si>
    <t>Klasa EMA
A-D</t>
  </si>
  <si>
    <t>Ceffect LC</t>
  </si>
  <si>
    <t>Cepravin</t>
  </si>
  <si>
    <t>Fatrocef</t>
  </si>
  <si>
    <t>Procapen</t>
  </si>
  <si>
    <t>ceffect</t>
  </si>
  <si>
    <t>Cevaxel</t>
  </si>
  <si>
    <t>Colmyc</t>
  </si>
  <si>
    <t>curacefDuo</t>
  </si>
  <si>
    <t>Enflocyna</t>
  </si>
  <si>
    <t>Engemycin 10%</t>
  </si>
  <si>
    <t>Eurobioflox</t>
  </si>
  <si>
    <t>Forcyl</t>
  </si>
  <si>
    <t>linco-spectin</t>
  </si>
  <si>
    <t>Marbocyl</t>
  </si>
  <si>
    <t>Synolux</t>
  </si>
  <si>
    <t>Zuprevo</t>
  </si>
  <si>
    <t>U-tab</t>
  </si>
  <si>
    <t>gabrocol</t>
  </si>
  <si>
    <t>Rilexine 200 LC</t>
  </si>
  <si>
    <t>C</t>
  </si>
  <si>
    <t>nie antybiotyk</t>
  </si>
  <si>
    <t>D ???</t>
  </si>
  <si>
    <t>Kategorie ryzyka</t>
  </si>
  <si>
    <t>Florkem</t>
  </si>
  <si>
    <t>mg</t>
  </si>
  <si>
    <t>Błąd</t>
  </si>
  <si>
    <t xml:space="preserve">Tylko zużyto krytyczne </t>
  </si>
  <si>
    <t>Kategoria ryzyka  czyli nr np.. 1</t>
  </si>
  <si>
    <t>Lub tu kategoria ryzyka</t>
  </si>
  <si>
    <t>v</t>
  </si>
  <si>
    <t>TiiMISONE</t>
  </si>
  <si>
    <t>CEFTIOCYL</t>
  </si>
  <si>
    <t>QIVITAN</t>
  </si>
  <si>
    <t>ALBIPEN</t>
  </si>
  <si>
    <t xml:space="preserve">Giraxa </t>
  </si>
  <si>
    <t>Vetaflunix</t>
  </si>
  <si>
    <t>Pyralgivet</t>
  </si>
  <si>
    <t>OESTROPHAN</t>
  </si>
  <si>
    <t>Borgal</t>
  </si>
  <si>
    <t>Ketink</t>
  </si>
  <si>
    <t>dexashot</t>
  </si>
  <si>
    <t>Rimadyl</t>
  </si>
  <si>
    <t>Injectio Pyralgini</t>
  </si>
  <si>
    <t>animeloxan</t>
  </si>
  <si>
    <t>genestran</t>
  </si>
  <si>
    <t>buscopan</t>
  </si>
  <si>
    <t>interflox</t>
  </si>
  <si>
    <t>Dexafast</t>
  </si>
  <si>
    <t>Dexrapid</t>
  </si>
  <si>
    <t>oxytan</t>
  </si>
  <si>
    <t>Cemay</t>
  </si>
  <si>
    <t>Rifen</t>
  </si>
  <si>
    <t>tilmisone</t>
  </si>
  <si>
    <t>ketodolor</t>
  </si>
  <si>
    <t>biomox</t>
  </si>
  <si>
    <t>marbovet</t>
  </si>
  <si>
    <t>ampiclox</t>
  </si>
  <si>
    <t>lanflox</t>
  </si>
  <si>
    <t>contacera</t>
  </si>
  <si>
    <t>histodine</t>
  </si>
  <si>
    <t>Fluvex</t>
  </si>
  <si>
    <t>sensiblex</t>
  </si>
  <si>
    <t>rapidexon</t>
  </si>
  <si>
    <t>Probencil</t>
  </si>
  <si>
    <t>Enrotron</t>
  </si>
  <si>
    <t>Wellicox</t>
  </si>
  <si>
    <t>coffenal</t>
  </si>
  <si>
    <t>furosemid 5%</t>
  </si>
  <si>
    <t>sterofundin</t>
  </si>
  <si>
    <t>Loxicom</t>
  </si>
  <si>
    <t>Estrumate</t>
  </si>
  <si>
    <t>Penillin</t>
  </si>
  <si>
    <t>PHARMASIN</t>
  </si>
  <si>
    <t>mastidol</t>
  </si>
  <si>
    <t>BIOMECTIN</t>
  </si>
  <si>
    <t>Ditrivet</t>
  </si>
  <si>
    <t>Cevazuril</t>
  </si>
  <si>
    <t>bioflox</t>
  </si>
  <si>
    <t>polocainum</t>
  </si>
  <si>
    <t>qivitan LC</t>
  </si>
  <si>
    <t>tubes</t>
  </si>
  <si>
    <t>Masa ciała</t>
  </si>
  <si>
    <t>PCU – standaryzowana średnia waga zwierząt podczas leczenia wg 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</si>
</sst>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8"/>
      <name val="Calibri"/>
      <family val="2"/>
      <scheme val="minor"/>
    </font>
    <font>
      <u/>
      <sz val="8"/>
      <color theme="8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theme="5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  <charset val="238"/>
    </font>
    <font>
      <sz val="8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charset val="238"/>
      <scheme val="minor"/>
    </font>
    <font>
      <sz val="8"/>
      <name val="Calibri  "/>
      <charset val="238"/>
    </font>
    <font>
      <sz val="8"/>
      <color theme="1"/>
      <name val="Calibri"/>
      <family val="2"/>
      <charset val="238"/>
      <scheme val="minor"/>
    </font>
    <font>
      <sz val="8"/>
      <color rgb="FF000000"/>
      <name val="Calibri"/>
      <family val="2"/>
      <charset val="238"/>
      <scheme val="minor"/>
    </font>
    <font>
      <sz val="11"/>
      <color rgb="FF00000A"/>
      <name val="Calibri"/>
      <family val="2"/>
      <charset val="238"/>
      <scheme val="minor"/>
    </font>
    <font>
      <sz val="11"/>
      <color rgb="FF000000"/>
      <name val="Times New Roman"/>
      <family val="1"/>
      <charset val="238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/>
      </patternFill>
    </fill>
    <fill>
      <patternFill patternType="solid">
        <fgColor rgb="FF43FB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0" borderId="0"/>
    <xf numFmtId="0" fontId="11" fillId="0" borderId="0"/>
  </cellStyleXfs>
  <cellXfs count="154">
    <xf numFmtId="0" fontId="0" fillId="0" borderId="0" xfId="0"/>
    <xf numFmtId="0" fontId="8" fillId="0" borderId="8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6" xfId="0" applyNumberForma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0" xfId="3" applyFont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3" applyFont="1" applyAlignment="1" applyProtection="1">
      <alignment vertical="center" wrapText="1"/>
      <protection hidden="1"/>
    </xf>
    <xf numFmtId="0" fontId="15" fillId="0" borderId="0" xfId="3" applyFont="1" applyAlignment="1" applyProtection="1">
      <alignment horizontal="right" vertical="center" wrapText="1"/>
      <protection hidden="1"/>
    </xf>
    <xf numFmtId="0" fontId="15" fillId="0" borderId="0" xfId="4" applyFont="1" applyAlignment="1" applyProtection="1">
      <alignment horizontal="right" vertical="center" wrapText="1"/>
      <protection hidden="1"/>
    </xf>
    <xf numFmtId="0" fontId="15" fillId="0" borderId="0" xfId="0" applyFont="1" applyAlignment="1" applyProtection="1">
      <alignment vertical="center"/>
      <protection hidden="1"/>
    </xf>
    <xf numFmtId="165" fontId="15" fillId="0" borderId="0" xfId="0" applyNumberFormat="1" applyFont="1" applyAlignment="1" applyProtection="1">
      <alignment vertical="center"/>
      <protection hidden="1"/>
    </xf>
    <xf numFmtId="0" fontId="13" fillId="0" borderId="0" xfId="0" applyFont="1" applyAlignment="1">
      <alignment vertical="center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 wrapText="1"/>
      <protection hidden="1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1" applyFont="1"/>
    <xf numFmtId="0" fontId="16" fillId="0" borderId="0" xfId="3" applyFont="1" applyAlignment="1" applyProtection="1">
      <alignment vertical="center" wrapText="1"/>
      <protection hidden="1"/>
    </xf>
    <xf numFmtId="0" fontId="16" fillId="0" borderId="0" xfId="3" applyFont="1" applyAlignment="1" applyProtection="1">
      <alignment horizontal="right" vertical="center" wrapText="1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1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9" fillId="0" borderId="0" xfId="3" applyFont="1" applyAlignment="1" applyProtection="1">
      <alignment vertical="center" wrapText="1"/>
      <protection hidden="1"/>
    </xf>
    <xf numFmtId="0" fontId="20" fillId="0" borderId="0" xfId="1" applyFont="1" applyAlignment="1">
      <alignment vertical="center"/>
    </xf>
    <xf numFmtId="0" fontId="1" fillId="0" borderId="6" xfId="0" applyFont="1" applyBorder="1" applyAlignment="1">
      <alignment horizontal="center" vertical="top" wrapText="1"/>
    </xf>
    <xf numFmtId="0" fontId="2" fillId="0" borderId="0" xfId="0" applyFont="1" applyAlignment="1" applyProtection="1">
      <alignment vertical="top" wrapText="1"/>
      <protection hidden="1"/>
    </xf>
    <xf numFmtId="0" fontId="0" fillId="0" borderId="6" xfId="0" applyBorder="1" applyAlignment="1">
      <alignment vertical="top" wrapText="1"/>
    </xf>
    <xf numFmtId="0" fontId="0" fillId="0" borderId="6" xfId="0" applyBorder="1"/>
    <xf numFmtId="0" fontId="0" fillId="0" borderId="4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2" fontId="24" fillId="0" borderId="9" xfId="2" applyNumberFormat="1" applyFont="1" applyFill="1" applyBorder="1" applyAlignment="1" applyProtection="1">
      <alignment horizontal="left" vertical="center" wrapText="1"/>
      <protection hidden="1"/>
    </xf>
    <xf numFmtId="0" fontId="22" fillId="0" borderId="0" xfId="0" applyFont="1" applyAlignment="1">
      <alignment vertical="top"/>
    </xf>
    <xf numFmtId="0" fontId="2" fillId="0" borderId="0" xfId="0" applyFont="1" applyAlignment="1" applyProtection="1">
      <alignment vertical="top"/>
      <protection hidden="1"/>
    </xf>
    <xf numFmtId="0" fontId="24" fillId="0" borderId="9" xfId="2" applyFont="1" applyFill="1" applyBorder="1" applyAlignment="1" applyProtection="1">
      <protection hidden="1"/>
    </xf>
    <xf numFmtId="2" fontId="6" fillId="0" borderId="9" xfId="2" applyNumberFormat="1" applyFont="1" applyFill="1" applyBorder="1" applyProtection="1">
      <protection hidden="1"/>
    </xf>
    <xf numFmtId="0" fontId="22" fillId="0" borderId="0" xfId="0" applyFont="1"/>
    <xf numFmtId="2" fontId="6" fillId="0" borderId="9" xfId="2" applyNumberFormat="1" applyFont="1" applyFill="1" applyBorder="1" applyAlignment="1" applyProtection="1">
      <alignment horizontal="left" vertical="center" wrapText="1"/>
      <protection hidden="1"/>
    </xf>
    <xf numFmtId="2" fontId="25" fillId="0" borderId="9" xfId="2" applyNumberFormat="1" applyFont="1" applyFill="1" applyBorder="1" applyAlignment="1" applyProtection="1">
      <alignment horizontal="left" vertical="center" wrapText="1"/>
      <protection hidden="1"/>
    </xf>
    <xf numFmtId="2" fontId="0" fillId="0" borderId="8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23" fillId="0" borderId="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top" wrapText="1"/>
    </xf>
    <xf numFmtId="1" fontId="23" fillId="0" borderId="6" xfId="0" applyNumberFormat="1" applyFont="1" applyBorder="1" applyAlignment="1">
      <alignment horizontal="center"/>
    </xf>
    <xf numFmtId="2" fontId="23" fillId="0" borderId="6" xfId="0" applyNumberFormat="1" applyFont="1" applyBorder="1" applyAlignment="1">
      <alignment horizontal="center"/>
    </xf>
    <xf numFmtId="2" fontId="0" fillId="0" borderId="6" xfId="0" applyNumberFormat="1" applyBorder="1"/>
    <xf numFmtId="1" fontId="0" fillId="0" borderId="6" xfId="0" applyNumberFormat="1" applyBorder="1"/>
    <xf numFmtId="0" fontId="0" fillId="0" borderId="0" xfId="0" applyAlignment="1">
      <alignment horizontal="center" vertical="center" wrapText="1"/>
    </xf>
    <xf numFmtId="0" fontId="27" fillId="5" borderId="0" xfId="0" applyFont="1" applyFill="1" applyAlignment="1" applyProtection="1">
      <alignment horizontal="center" vertical="center" wrapText="1"/>
      <protection hidden="1"/>
    </xf>
    <xf numFmtId="2" fontId="0" fillId="0" borderId="6" xfId="0" applyNumberForma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6" xfId="0" applyFont="1" applyBorder="1" applyAlignment="1">
      <alignment horizontal="center" vertical="top" wrapText="1"/>
    </xf>
    <xf numFmtId="0" fontId="12" fillId="6" borderId="0" xfId="3" applyFont="1" applyFill="1" applyAlignment="1" applyProtection="1">
      <alignment horizontal="center" vertical="center" wrapText="1"/>
      <protection hidden="1"/>
    </xf>
    <xf numFmtId="0" fontId="15" fillId="6" borderId="0" xfId="4" applyFont="1" applyFill="1" applyAlignment="1" applyProtection="1">
      <alignment horizontal="right" vertical="center" wrapText="1"/>
      <protection hidden="1"/>
    </xf>
    <xf numFmtId="0" fontId="16" fillId="6" borderId="0" xfId="0" applyFont="1" applyFill="1" applyAlignment="1">
      <alignment vertical="center" wrapText="1"/>
    </xf>
    <xf numFmtId="0" fontId="15" fillId="6" borderId="0" xfId="0" applyFont="1" applyFill="1" applyAlignment="1" applyProtection="1">
      <alignment vertical="center"/>
      <protection hidden="1"/>
    </xf>
    <xf numFmtId="0" fontId="13" fillId="6" borderId="0" xfId="0" applyFont="1" applyFill="1" applyAlignment="1">
      <alignment vertical="center" wrapText="1"/>
    </xf>
    <xf numFmtId="0" fontId="16" fillId="6" borderId="0" xfId="4" applyFont="1" applyFill="1" applyAlignment="1" applyProtection="1">
      <alignment horizontal="right" vertical="center" wrapText="1"/>
      <protection hidden="1"/>
    </xf>
    <xf numFmtId="0" fontId="21" fillId="6" borderId="0" xfId="0" applyFont="1" applyFill="1" applyAlignment="1">
      <alignment vertical="center" wrapText="1"/>
    </xf>
    <xf numFmtId="0" fontId="12" fillId="6" borderId="0" xfId="0" applyFont="1" applyFill="1" applyAlignment="1" applyProtection="1">
      <alignment horizontal="center" vertical="center" wrapText="1"/>
      <protection hidden="1"/>
    </xf>
    <xf numFmtId="165" fontId="15" fillId="6" borderId="0" xfId="0" applyNumberFormat="1" applyFont="1" applyFill="1" applyAlignment="1" applyProtection="1">
      <alignment vertical="center"/>
      <protection hidden="1"/>
    </xf>
    <xf numFmtId="165" fontId="16" fillId="6" borderId="0" xfId="0" applyNumberFormat="1" applyFont="1" applyFill="1" applyAlignment="1" applyProtection="1">
      <alignment vertical="center"/>
      <protection hidden="1"/>
    </xf>
    <xf numFmtId="0" fontId="16" fillId="6" borderId="0" xfId="0" applyFont="1" applyFill="1" applyAlignment="1" applyProtection="1">
      <alignment vertical="center"/>
      <protection hidden="1"/>
    </xf>
    <xf numFmtId="0" fontId="15" fillId="6" borderId="0" xfId="0" applyFont="1" applyFill="1" applyAlignment="1">
      <alignment vertical="center"/>
    </xf>
    <xf numFmtId="0" fontId="13" fillId="0" borderId="6" xfId="0" applyFont="1" applyBorder="1" applyAlignment="1">
      <alignment vertical="center"/>
    </xf>
    <xf numFmtId="0" fontId="30" fillId="0" borderId="6" xfId="0" applyFont="1" applyBorder="1" applyAlignment="1">
      <alignment vertical="center" wrapText="1"/>
    </xf>
    <xf numFmtId="0" fontId="12" fillId="0" borderId="0" xfId="3" applyFont="1" applyAlignment="1" applyProtection="1">
      <alignment horizontal="left" vertical="center" wrapText="1"/>
      <protection hidden="1"/>
    </xf>
    <xf numFmtId="0" fontId="13" fillId="7" borderId="0" xfId="0" applyFont="1" applyFill="1" applyAlignment="1">
      <alignment vertical="center" wrapText="1"/>
    </xf>
    <xf numFmtId="0" fontId="15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>
      <alignment horizontal="center" vertical="center" wrapText="1"/>
    </xf>
    <xf numFmtId="0" fontId="15" fillId="0" borderId="0" xfId="4" applyFont="1" applyAlignment="1" applyProtection="1">
      <alignment horizontal="center" vertical="center" wrapText="1"/>
      <protection hidden="1"/>
    </xf>
    <xf numFmtId="0" fontId="13" fillId="7" borderId="0" xfId="0" applyFont="1" applyFill="1" applyAlignment="1">
      <alignment horizontal="center" vertical="center" wrapText="1"/>
    </xf>
    <xf numFmtId="0" fontId="15" fillId="0" borderId="0" xfId="3" applyFont="1" applyAlignment="1" applyProtection="1">
      <alignment horizontal="center" vertical="center" wrapText="1"/>
      <protection hidden="1"/>
    </xf>
    <xf numFmtId="0" fontId="16" fillId="0" borderId="0" xfId="3" applyFont="1" applyAlignment="1" applyProtection="1">
      <alignment horizontal="center" vertical="center" wrapText="1"/>
      <protection hidden="1"/>
    </xf>
    <xf numFmtId="0" fontId="15" fillId="7" borderId="0" xfId="3" applyFont="1" applyFill="1" applyAlignment="1" applyProtection="1">
      <alignment horizontal="center" vertical="center" wrapText="1"/>
      <protection hidden="1"/>
    </xf>
    <xf numFmtId="0" fontId="13" fillId="0" borderId="0" xfId="0" applyFont="1"/>
    <xf numFmtId="0" fontId="31" fillId="0" borderId="0" xfId="0" applyFont="1"/>
    <xf numFmtId="0" fontId="32" fillId="0" borderId="0" xfId="0" applyFont="1"/>
    <xf numFmtId="0" fontId="13" fillId="8" borderId="0" xfId="0" applyFont="1" applyFill="1" applyAlignment="1">
      <alignment vertical="center" wrapText="1"/>
    </xf>
    <xf numFmtId="0" fontId="15" fillId="8" borderId="0" xfId="3" applyFont="1" applyFill="1" applyAlignment="1" applyProtection="1">
      <alignment horizontal="center" vertical="center" wrapText="1"/>
      <protection hidden="1"/>
    </xf>
    <xf numFmtId="0" fontId="13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vertical="center"/>
    </xf>
    <xf numFmtId="0" fontId="32" fillId="8" borderId="0" xfId="0" applyFont="1" applyFill="1"/>
    <xf numFmtId="0" fontId="12" fillId="5" borderId="0" xfId="0" applyFont="1" applyFill="1" applyAlignment="1" applyProtection="1">
      <alignment horizontal="center" vertical="center" wrapText="1"/>
      <protection hidden="1"/>
    </xf>
    <xf numFmtId="0" fontId="13" fillId="9" borderId="0" xfId="0" applyFont="1" applyFill="1" applyAlignment="1">
      <alignment vertical="center" wrapText="1"/>
    </xf>
    <xf numFmtId="0" fontId="15" fillId="9" borderId="0" xfId="3" applyFont="1" applyFill="1" applyAlignment="1" applyProtection="1">
      <alignment horizontal="center" vertical="center" wrapText="1"/>
      <protection hidden="1"/>
    </xf>
    <xf numFmtId="0" fontId="13" fillId="9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/>
    </xf>
    <xf numFmtId="0" fontId="0" fillId="8" borderId="8" xfId="0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33" fillId="0" borderId="0" xfId="0" applyFont="1" applyAlignment="1">
      <alignment horizontal="right" vertical="center"/>
    </xf>
    <xf numFmtId="2" fontId="0" fillId="0" borderId="0" xfId="0" applyNumberFormat="1"/>
    <xf numFmtId="0" fontId="34" fillId="10" borderId="0" xfId="0" applyFont="1" applyFill="1"/>
    <xf numFmtId="0" fontId="35" fillId="10" borderId="0" xfId="0" applyFont="1" applyFill="1"/>
    <xf numFmtId="0" fontId="34" fillId="10" borderId="0" xfId="0" applyFont="1" applyFill="1" applyAlignment="1">
      <alignment vertical="center"/>
    </xf>
    <xf numFmtId="0" fontId="23" fillId="0" borderId="4" xfId="0" applyFont="1" applyBorder="1" applyAlignment="1">
      <alignment horizontal="center" vertical="top"/>
    </xf>
    <xf numFmtId="0" fontId="23" fillId="0" borderId="4" xfId="0" applyFont="1" applyBorder="1" applyAlignment="1">
      <alignment horizontal="center" vertical="top" wrapText="1"/>
    </xf>
    <xf numFmtId="0" fontId="2" fillId="0" borderId="0" xfId="0" applyFont="1" applyAlignment="1" applyProtection="1">
      <alignment horizontal="center" vertical="top"/>
      <protection hidden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36" fillId="0" borderId="0" xfId="0" applyFont="1"/>
    <xf numFmtId="0" fontId="15" fillId="0" borderId="0" xfId="0" applyFont="1" applyAlignment="1">
      <alignment vertical="center" wrapText="1"/>
    </xf>
    <xf numFmtId="14" fontId="0" fillId="0" borderId="6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37" fillId="0" borderId="0" xfId="0" applyFont="1"/>
    <xf numFmtId="0" fontId="38" fillId="0" borderId="0" xfId="0" applyFont="1" applyAlignment="1">
      <alignment vertical="center"/>
    </xf>
    <xf numFmtId="14" fontId="39" fillId="11" borderId="6" xfId="0" applyNumberFormat="1" applyFont="1" applyFill="1" applyBorder="1" applyAlignment="1">
      <alignment horizontal="center" vertical="top" wrapText="1"/>
    </xf>
    <xf numFmtId="0" fontId="39" fillId="11" borderId="6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top" wrapText="1"/>
    </xf>
    <xf numFmtId="0" fontId="39" fillId="0" borderId="6" xfId="0" applyFont="1" applyBorder="1"/>
    <xf numFmtId="0" fontId="39" fillId="0" borderId="6" xfId="0" applyFont="1" applyBorder="1" applyAlignment="1">
      <alignment horizontal="center"/>
    </xf>
    <xf numFmtId="0" fontId="40" fillId="0" borderId="0" xfId="0" applyFont="1"/>
    <xf numFmtId="0" fontId="0" fillId="4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8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2" fontId="24" fillId="0" borderId="9" xfId="2" applyNumberFormat="1" applyFont="1" applyFill="1" applyBorder="1" applyAlignment="1" applyProtection="1">
      <alignment horizontal="center" vertical="center" wrapText="1"/>
      <protection hidden="1"/>
    </xf>
    <xf numFmtId="2" fontId="6" fillId="0" borderId="9" xfId="2" applyNumberFormat="1" applyFont="1" applyFill="1" applyBorder="1" applyAlignment="1" applyProtection="1">
      <alignment horizontal="left" vertical="center" wrapText="1"/>
      <protection hidden="1"/>
    </xf>
    <xf numFmtId="0" fontId="26" fillId="0" borderId="0" xfId="0" applyFont="1" applyAlignment="1" applyProtection="1">
      <alignment vertical="top" wrapText="1"/>
      <protection hidden="1"/>
    </xf>
    <xf numFmtId="0" fontId="24" fillId="0" borderId="9" xfId="2" applyFont="1" applyFill="1" applyBorder="1" applyAlignment="1" applyProtection="1">
      <alignment horizontal="center"/>
      <protection hidden="1"/>
    </xf>
    <xf numFmtId="0" fontId="12" fillId="0" borderId="0" xfId="3" applyFont="1" applyAlignment="1" applyProtection="1">
      <alignment horizontal="center" vertical="center" wrapText="1"/>
      <protection hidden="1"/>
    </xf>
    <xf numFmtId="0" fontId="28" fillId="5" borderId="0" xfId="0" applyFont="1" applyFill="1" applyAlignment="1">
      <alignment horizontal="center" vertical="center"/>
    </xf>
  </cellXfs>
  <cellStyles count="5">
    <cellStyle name="Akcent 4" xfId="2" builtinId="41"/>
    <cellStyle name="Hiperłącze" xfId="1" builtinId="8"/>
    <cellStyle name="Normal_3. Grouped" xfId="4" xr:uid="{00000000-0005-0000-0000-000002000000}"/>
    <cellStyle name="Normal_3. Grouped_1" xfId="3" xr:uid="{00000000-0005-0000-0000-000003000000}"/>
    <cellStyle name="Normalny" xfId="0" builtinId="0"/>
  </cellStyles>
  <dxfs count="1317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rgb="FFFFFF00"/>
        </patternFill>
      </fill>
      <border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bottom style="thin">
          <color auto="1"/>
        </bottom>
      </border>
    </dxf>
  </dxfs>
  <tableStyles count="0" defaultTableStyle="TableStyleMedium2" defaultPivotStyle="PivotStyleLight16"/>
  <colors>
    <mruColors>
      <color rgb="FF43FB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Antibiotic use by route [mg/PCU]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'Leczenie ogólne'!$T$7</c:f>
              <c:strCache>
                <c:ptCount val="1"/>
                <c:pt idx="0">
                  <c:v>Antibiotic Use 
[mg/PCU]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'Leczenie ogólne'!$R$8:$R$11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'Leczenie ogólne'!$T$8:$T$11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5-4325-8FFE-DB489A988D28}"/>
            </c:ext>
          </c:extLst>
        </c:ser>
        <c:ser>
          <c:idx val="1"/>
          <c:order val="1"/>
          <c:tx>
            <c:strRef>
              <c:f>'Leczenie ogólne'!$U$7</c:f>
              <c:strCache>
                <c:ptCount val="1"/>
                <c:pt idx="0">
                  <c:v>Critically Important
[mg/PCU]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'Leczenie ogólne'!$R$8:$R$11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'Leczenie ogólne'!$U$8:$U$11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5-4325-8FFE-DB489A988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08928"/>
        <c:axId val="123935744"/>
      </c:barChart>
      <c:catAx>
        <c:axId val="121708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935744"/>
        <c:crosses val="autoZero"/>
        <c:auto val="1"/>
        <c:lblAlgn val="ctr"/>
        <c:lblOffset val="100"/>
        <c:noMultiLvlLbl val="0"/>
      </c:catAx>
      <c:valAx>
        <c:axId val="12393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mg/PCU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70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Antibiotic use by route [%]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Farm</a:t>
            </a:r>
            <a:r>
              <a:rPr lang="en-GB" baseline="0"/>
              <a:t> 1 Nord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'Leczenie ogólne'!$T$7</c:f>
              <c:strCache>
                <c:ptCount val="1"/>
                <c:pt idx="0">
                  <c:v>Antibiotic Use 
[mg/PCU]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'Leczenie ogólne'!$R$8:$R$11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'Leczenie ogólne'!$T$8:$T$11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6-4824-A1F4-40F6986D37B0}"/>
            </c:ext>
          </c:extLst>
        </c:ser>
        <c:ser>
          <c:idx val="1"/>
          <c:order val="1"/>
          <c:tx>
            <c:strRef>
              <c:f>'Leczenie ogólne'!$U$7</c:f>
              <c:strCache>
                <c:ptCount val="1"/>
                <c:pt idx="0">
                  <c:v>Critically Important
[mg/PCU]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'Leczenie ogólne'!$R$8:$R$11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'Leczenie ogólne'!$U$8:$U$11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6-4824-A1F4-40F6986D3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02874240"/>
        <c:axId val="208340096"/>
      </c:barChart>
      <c:catAx>
        <c:axId val="20287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8340096"/>
        <c:crosses val="autoZero"/>
        <c:auto val="1"/>
        <c:lblAlgn val="ctr"/>
        <c:lblOffset val="100"/>
        <c:noMultiLvlLbl val="0"/>
      </c:catAx>
      <c:valAx>
        <c:axId val="20834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87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Antibiotic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52-41D4-BCEB-33EEC3D808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52-41D4-BCEB-33EEC3D808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'Leczenie ogólne'!$T$3:$U$3</c:f>
              <c:strCache>
                <c:ptCount val="2"/>
                <c:pt idx="0">
                  <c:v>Total Antibiotic Use 
[mg/PCU]</c:v>
                </c:pt>
                <c:pt idx="1">
                  <c:v>Total Critically Important
[mg/PCU]</c:v>
                </c:pt>
              </c:strCache>
            </c:strRef>
          </c:cat>
          <c:val>
            <c:numRef>
              <c:f>'Leczenie ogólne'!$T$4:$U$4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2-41D4-BCEB-33EEC3D8080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Antibiotic use by route [mg/PCU]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Mastitis!$T$7</c:f>
              <c:strCache>
                <c:ptCount val="1"/>
                <c:pt idx="0">
                  <c:v>Antibiotic Use 
[mg/PCU]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Mastitis!$R$8:$R$11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Mastitis!$T$8:$T$11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2-49D0-B16B-5DAE650F14F6}"/>
            </c:ext>
          </c:extLst>
        </c:ser>
        <c:ser>
          <c:idx val="1"/>
          <c:order val="1"/>
          <c:tx>
            <c:strRef>
              <c:f>Mastitis!$U$7</c:f>
              <c:strCache>
                <c:ptCount val="1"/>
                <c:pt idx="0">
                  <c:v>Critically Important
[mg/PCU]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Mastitis!$R$8:$R$11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Mastitis!$U$8:$U$11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2-49D0-B16B-5DAE650F1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331456"/>
        <c:axId val="93333376"/>
      </c:barChart>
      <c:catAx>
        <c:axId val="93331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333376"/>
        <c:crosses val="autoZero"/>
        <c:auto val="1"/>
        <c:lblAlgn val="ctr"/>
        <c:lblOffset val="100"/>
        <c:noMultiLvlLbl val="0"/>
      </c:catAx>
      <c:valAx>
        <c:axId val="9333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mg/PCU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3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Antibiotic use by route [%]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Farm</a:t>
            </a:r>
            <a:r>
              <a:rPr lang="en-GB" baseline="0"/>
              <a:t> 1 Nord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Mastitis!$T$7</c:f>
              <c:strCache>
                <c:ptCount val="1"/>
                <c:pt idx="0">
                  <c:v>Antibiotic Use 
[mg/PCU]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Mastitis!$R$8:$R$11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Mastitis!$T$8:$T$11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A-4325-A77A-FE209D5A0739}"/>
            </c:ext>
          </c:extLst>
        </c:ser>
        <c:ser>
          <c:idx val="1"/>
          <c:order val="1"/>
          <c:tx>
            <c:strRef>
              <c:f>Mastitis!$U$7</c:f>
              <c:strCache>
                <c:ptCount val="1"/>
                <c:pt idx="0">
                  <c:v>Critically Important
[mg/PCU]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Mastitis!$R$8:$R$11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Mastitis!$U$8:$U$11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A-4325-A77A-FE209D5A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3351296"/>
        <c:axId val="93353088"/>
      </c:barChart>
      <c:catAx>
        <c:axId val="9335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353088"/>
        <c:crosses val="autoZero"/>
        <c:auto val="1"/>
        <c:lblAlgn val="ctr"/>
        <c:lblOffset val="100"/>
        <c:noMultiLvlLbl val="0"/>
      </c:catAx>
      <c:valAx>
        <c:axId val="9335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3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Antibiotic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B1-4D83-BD3D-EAD8241A22C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B1-4D83-BD3D-EAD8241A22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Mastitis!$T$3:$U$3</c:f>
              <c:strCache>
                <c:ptCount val="2"/>
                <c:pt idx="0">
                  <c:v>Total Antibiotic Use 
[mg/PCU]</c:v>
                </c:pt>
                <c:pt idx="1">
                  <c:v>Total Critically Important
[mg/PCU]</c:v>
                </c:pt>
              </c:strCache>
            </c:strRef>
          </c:cat>
          <c:val>
            <c:numRef>
              <c:f>Mastitis!$T$4:$U$4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B1-4D83-BD3D-EAD8241A22C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Antibiotic use by route [mg/PCU]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Zasuszanie!$T$7</c:f>
              <c:strCache>
                <c:ptCount val="1"/>
                <c:pt idx="0">
                  <c:v>Antibiotic Use 
[mg/PCU]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Zasuszanie!$R$8:$R$11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Zasuszanie!$T$8:$T$11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8-439C-9446-F3CB5729BFED}"/>
            </c:ext>
          </c:extLst>
        </c:ser>
        <c:ser>
          <c:idx val="1"/>
          <c:order val="1"/>
          <c:tx>
            <c:strRef>
              <c:f>Zasuszanie!$U$7</c:f>
              <c:strCache>
                <c:ptCount val="1"/>
                <c:pt idx="0">
                  <c:v>Critically Important
[mg/PCU]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Zasuszanie!$R$8:$R$11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Zasuszanie!$U$8:$U$11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8-439C-9446-F3CB5729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21312"/>
        <c:axId val="114234496"/>
      </c:barChart>
      <c:catAx>
        <c:axId val="113421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234496"/>
        <c:crosses val="autoZero"/>
        <c:auto val="1"/>
        <c:lblAlgn val="ctr"/>
        <c:lblOffset val="100"/>
        <c:noMultiLvlLbl val="0"/>
      </c:catAx>
      <c:valAx>
        <c:axId val="11423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mg/PCU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Antibiotic use by route [%]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Farm</a:t>
            </a:r>
            <a:r>
              <a:rPr lang="en-GB" baseline="0"/>
              <a:t> 1 Nord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Zasuszanie!$T$7</c:f>
              <c:strCache>
                <c:ptCount val="1"/>
                <c:pt idx="0">
                  <c:v>Antibiotic Use 
[mg/PCU]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Zasuszanie!$R$8:$R$11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Zasuszanie!$T$8:$T$11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A-430B-98A7-C0DCD6601297}"/>
            </c:ext>
          </c:extLst>
        </c:ser>
        <c:ser>
          <c:idx val="1"/>
          <c:order val="1"/>
          <c:tx>
            <c:strRef>
              <c:f>Zasuszanie!$U$7</c:f>
              <c:strCache>
                <c:ptCount val="1"/>
                <c:pt idx="0">
                  <c:v>Critically Important
[mg/PCU]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Zasuszanie!$R$8:$R$11</c:f>
              <c:strCache>
                <c:ptCount val="4"/>
                <c:pt idx="0">
                  <c:v>Injectable</c:v>
                </c:pt>
                <c:pt idx="1">
                  <c:v>Lactatingtube</c:v>
                </c:pt>
                <c:pt idx="2">
                  <c:v>Drytube</c:v>
                </c:pt>
                <c:pt idx="3">
                  <c:v>Other (IU, Oral, Pessary, Footbath)</c:v>
                </c:pt>
              </c:strCache>
            </c:strRef>
          </c:cat>
          <c:val>
            <c:numRef>
              <c:f>Zasuszanie!$U$8:$U$11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A-430B-98A7-C0DCD6601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4252416"/>
        <c:axId val="114258304"/>
      </c:barChart>
      <c:catAx>
        <c:axId val="11425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258304"/>
        <c:crosses val="autoZero"/>
        <c:auto val="1"/>
        <c:lblAlgn val="ctr"/>
        <c:lblOffset val="100"/>
        <c:noMultiLvlLbl val="0"/>
      </c:catAx>
      <c:valAx>
        <c:axId val="11425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25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Antibiotic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6A-4365-AD65-33FB224D5DF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6A-4365-AD65-33FB224D5D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Zasuszanie!$T$3:$U$3</c:f>
              <c:strCache>
                <c:ptCount val="2"/>
                <c:pt idx="0">
                  <c:v>Total Antibiotic Use 
[mg/PCU]</c:v>
                </c:pt>
                <c:pt idx="1">
                  <c:v>Total Critically Important
[mg/PCU]</c:v>
                </c:pt>
              </c:strCache>
            </c:strRef>
          </c:cat>
          <c:val>
            <c:numRef>
              <c:f>Zasuszanie!$T$4:$U$4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6A-4365-AD65-33FB224D5DF4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35719</xdr:colOff>
      <xdr:row>20</xdr:row>
      <xdr:rowOff>263525</xdr:rowOff>
    </xdr:from>
    <xdr:to>
      <xdr:col>21</xdr:col>
      <xdr:colOff>226219</xdr:colOff>
      <xdr:row>33</xdr:row>
      <xdr:rowOff>260351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452437</xdr:colOff>
      <xdr:row>20</xdr:row>
      <xdr:rowOff>295276</xdr:rowOff>
    </xdr:from>
    <xdr:to>
      <xdr:col>27</xdr:col>
      <xdr:colOff>452437</xdr:colOff>
      <xdr:row>33</xdr:row>
      <xdr:rowOff>292101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313531</xdr:colOff>
      <xdr:row>6</xdr:row>
      <xdr:rowOff>96838</xdr:rowOff>
    </xdr:from>
    <xdr:to>
      <xdr:col>28</xdr:col>
      <xdr:colOff>313531</xdr:colOff>
      <xdr:row>19</xdr:row>
      <xdr:rowOff>85726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35719</xdr:colOff>
      <xdr:row>20</xdr:row>
      <xdr:rowOff>263525</xdr:rowOff>
    </xdr:from>
    <xdr:to>
      <xdr:col>21</xdr:col>
      <xdr:colOff>226219</xdr:colOff>
      <xdr:row>33</xdr:row>
      <xdr:rowOff>260351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452437</xdr:colOff>
      <xdr:row>20</xdr:row>
      <xdr:rowOff>295276</xdr:rowOff>
    </xdr:from>
    <xdr:to>
      <xdr:col>27</xdr:col>
      <xdr:colOff>452437</xdr:colOff>
      <xdr:row>33</xdr:row>
      <xdr:rowOff>292101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313531</xdr:colOff>
      <xdr:row>6</xdr:row>
      <xdr:rowOff>96838</xdr:rowOff>
    </xdr:from>
    <xdr:to>
      <xdr:col>28</xdr:col>
      <xdr:colOff>313531</xdr:colOff>
      <xdr:row>19</xdr:row>
      <xdr:rowOff>85726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35719</xdr:colOff>
      <xdr:row>20</xdr:row>
      <xdr:rowOff>263525</xdr:rowOff>
    </xdr:from>
    <xdr:to>
      <xdr:col>21</xdr:col>
      <xdr:colOff>226219</xdr:colOff>
      <xdr:row>33</xdr:row>
      <xdr:rowOff>260351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452437</xdr:colOff>
      <xdr:row>20</xdr:row>
      <xdr:rowOff>295276</xdr:rowOff>
    </xdr:from>
    <xdr:to>
      <xdr:col>27</xdr:col>
      <xdr:colOff>452437</xdr:colOff>
      <xdr:row>33</xdr:row>
      <xdr:rowOff>292101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313531</xdr:colOff>
      <xdr:row>6</xdr:row>
      <xdr:rowOff>96838</xdr:rowOff>
    </xdr:from>
    <xdr:to>
      <xdr:col>28</xdr:col>
      <xdr:colOff>313531</xdr:colOff>
      <xdr:row>19</xdr:row>
      <xdr:rowOff>85726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etpharm.uzh.ch/tak/03000000/00035186.01" TargetMode="External"/><Relationship Id="rId13" Type="http://schemas.openxmlformats.org/officeDocument/2006/relationships/hyperlink" Target="https://imedikament.de/phenasol-10-mg-ml-injektionsloesung-fuer-rinder" TargetMode="External"/><Relationship Id="rId18" Type="http://schemas.openxmlformats.org/officeDocument/2006/relationships/hyperlink" Target="https://imedikament.de/vetophos" TargetMode="External"/><Relationship Id="rId26" Type="http://schemas.openxmlformats.org/officeDocument/2006/relationships/hyperlink" Target="https://www.vetpharm.uzh.ch/tak/05000000/00059449.01" TargetMode="External"/><Relationship Id="rId3" Type="http://schemas.openxmlformats.org/officeDocument/2006/relationships/hyperlink" Target="https://medikamio.com/de-at/medikamente/diatrim-200-mgml-40-mgml-injektionslosung/pil" TargetMode="External"/><Relationship Id="rId21" Type="http://schemas.openxmlformats.org/officeDocument/2006/relationships/hyperlink" Target="https://www.vetpharm.uzh.ch/tak/05000000/00056745.01" TargetMode="External"/><Relationship Id="rId7" Type="http://schemas.openxmlformats.org/officeDocument/2006/relationships/hyperlink" Target="https://www.vetpharm.uzh.ch/tak/06000000/00063082.01" TargetMode="External"/><Relationship Id="rId12" Type="http://schemas.openxmlformats.org/officeDocument/2006/relationships/hyperlink" Target="https://imedikament.de/masti-veyxym-mastitis-salbe-ohne-antibiotika" TargetMode="External"/><Relationship Id="rId17" Type="http://schemas.openxmlformats.org/officeDocument/2006/relationships/hyperlink" Target="../../../Users/Sokolowski/AppData/Local/Microsoft/Windows/ABx%202.0/Antibiotics/Tetra-Sleecol_2000mg-6018-K2-3-1016.pdf" TargetMode="External"/><Relationship Id="rId25" Type="http://schemas.openxmlformats.org/officeDocument/2006/relationships/hyperlink" Target="https://imedikament.de/sulphix/fachinformation" TargetMode="External"/><Relationship Id="rId2" Type="http://schemas.openxmlformats.org/officeDocument/2006/relationships/hyperlink" Target="https://www.vetpharm.uzh.ch/tak/05000000/00056110.01" TargetMode="External"/><Relationship Id="rId16" Type="http://schemas.openxmlformats.org/officeDocument/2006/relationships/hyperlink" Target="https://medikamio.com/de-at/medikamente/nux-vomica-homaccord-injektionslosung-fur-tiere/pil" TargetMode="External"/><Relationship Id="rId20" Type="http://schemas.openxmlformats.org/officeDocument/2006/relationships/hyperlink" Target="https://imedikament.de/tetra-bol-2000-mg" TargetMode="External"/><Relationship Id="rId29" Type="http://schemas.openxmlformats.org/officeDocument/2006/relationships/hyperlink" Target="https://imedikament.de/vetriproc-30" TargetMode="External"/><Relationship Id="rId1" Type="http://schemas.openxmlformats.org/officeDocument/2006/relationships/hyperlink" Target="https://imedikament.de/gelstamp-multidosis" TargetMode="External"/><Relationship Id="rId6" Type="http://schemas.openxmlformats.org/officeDocument/2006/relationships/hyperlink" Target="https://www.vetpharm.uzh.ch/tak/03000000/00036732.01" TargetMode="External"/><Relationship Id="rId11" Type="http://schemas.openxmlformats.org/officeDocument/2006/relationships/hyperlink" Target="https://imedikament.de/isocain-ad-us-vet" TargetMode="External"/><Relationship Id="rId24" Type="http://schemas.openxmlformats.org/officeDocument/2006/relationships/hyperlink" Target="https://www.vetpharm.uzh.ch/tak/06000000/00061880.01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s://medikamio.com/de-at/medikamente/benestermycin-suspension-zur-intramammaren-anwendung-fur-rinder/pil" TargetMode="External"/><Relationship Id="rId15" Type="http://schemas.openxmlformats.org/officeDocument/2006/relationships/hyperlink" Target="https://www.vetpharm.uzh.ch/tak/06000000/00066827.01" TargetMode="External"/><Relationship Id="rId23" Type="http://schemas.openxmlformats.org/officeDocument/2006/relationships/hyperlink" Target="https://medikamio.com/de-at/medikamente/procain-penicillin-g-ogris-300-mgml-suspension-zur-intramammaren-anwendung-fur-kuhe/pil" TargetMode="External"/><Relationship Id="rId28" Type="http://schemas.openxmlformats.org/officeDocument/2006/relationships/hyperlink" Target="https://imedikament.de/veyxyl-la-20-200mg-ml-injektionssuspension?doc=1" TargetMode="External"/><Relationship Id="rId10" Type="http://schemas.openxmlformats.org/officeDocument/2006/relationships/hyperlink" Target="https://medikamio.com/de-at/medikamente/gabbrovet-140-mgml-losung-zum-eingeben-uber-trinkwasser-milch-oder-milchaustauscher-fur-saugkalber-und-schweine/pil" TargetMode="External"/><Relationship Id="rId19" Type="http://schemas.openxmlformats.org/officeDocument/2006/relationships/hyperlink" Target="https://imedikament.de/penicillin-dihydrostreptomycin-suspension-45-mega-ad-us-vet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www.vetpharm.uzh.ch/tak/05000000/00052148.01" TargetMode="External"/><Relationship Id="rId9" Type="http://schemas.openxmlformats.org/officeDocument/2006/relationships/hyperlink" Target="https://tiergesundheit.bayer.de/omr/online/2786.pdf" TargetMode="External"/><Relationship Id="rId14" Type="http://schemas.openxmlformats.org/officeDocument/2006/relationships/hyperlink" Target="https://imedikament.de/pronestesic-40-mg-ml-0-036-mg-ml-injektionsloesung-fuer-pferde-rinder-schweine-und-schafe" TargetMode="External"/><Relationship Id="rId22" Type="http://schemas.openxmlformats.org/officeDocument/2006/relationships/hyperlink" Target="https://www.vetpharm.uzh.ch/tak/03000000/00037875.01" TargetMode="External"/><Relationship Id="rId27" Type="http://schemas.openxmlformats.org/officeDocument/2006/relationships/hyperlink" Target="https://www.vetpharm.uzh.ch/tak/04000000/00046039.01" TargetMode="External"/><Relationship Id="rId30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B2" sqref="B2"/>
    </sheetView>
  </sheetViews>
  <sheetFormatPr defaultRowHeight="14.5"/>
  <cols>
    <col min="1" max="1" width="24.81640625" bestFit="1" customWidth="1"/>
    <col min="2" max="2" width="31.6328125" customWidth="1"/>
    <col min="3" max="3" width="15.08984375" customWidth="1"/>
  </cols>
  <sheetData>
    <row r="1" spans="1:7">
      <c r="A1" s="145" t="s">
        <v>388</v>
      </c>
      <c r="B1" s="145"/>
    </row>
    <row r="2" spans="1:7">
      <c r="A2" s="51" t="s">
        <v>373</v>
      </c>
      <c r="B2" s="51"/>
    </row>
    <row r="3" spans="1:7">
      <c r="A3" s="51" t="s">
        <v>374</v>
      </c>
      <c r="B3" s="51"/>
    </row>
    <row r="4" spans="1:7">
      <c r="A4" s="51" t="s">
        <v>375</v>
      </c>
      <c r="B4" s="133">
        <v>45292</v>
      </c>
    </row>
    <row r="5" spans="1:7">
      <c r="A5" s="52" t="s">
        <v>376</v>
      </c>
      <c r="B5" s="134">
        <v>45292</v>
      </c>
    </row>
    <row r="6" spans="1:7">
      <c r="A6" s="145" t="s">
        <v>383</v>
      </c>
      <c r="B6" s="145"/>
      <c r="C6" s="145"/>
      <c r="D6" s="145"/>
    </row>
    <row r="7" spans="1:7" ht="29" customHeight="1">
      <c r="A7" s="51"/>
      <c r="B7" s="54" t="s">
        <v>381</v>
      </c>
      <c r="C7" s="54" t="s">
        <v>382</v>
      </c>
      <c r="D7" s="55" t="s">
        <v>389</v>
      </c>
      <c r="F7" t="s">
        <v>569</v>
      </c>
    </row>
    <row r="8" spans="1:7">
      <c r="A8" s="51" t="s">
        <v>377</v>
      </c>
      <c r="B8" s="51"/>
      <c r="C8" s="51"/>
      <c r="D8" s="51">
        <f>(B8+C8)/2</f>
        <v>0</v>
      </c>
      <c r="F8" s="120">
        <v>425</v>
      </c>
      <c r="G8">
        <f>F8*D8</f>
        <v>0</v>
      </c>
    </row>
    <row r="9" spans="1:7">
      <c r="A9" s="51" t="s">
        <v>378</v>
      </c>
      <c r="B9" s="51"/>
      <c r="C9" s="51"/>
      <c r="D9" s="51">
        <f t="shared" ref="D9:D11" si="0">(B9+C9)/2</f>
        <v>0</v>
      </c>
      <c r="F9" s="120">
        <v>200</v>
      </c>
      <c r="G9">
        <f t="shared" ref="G9:G11" si="1">F9*D9</f>
        <v>0</v>
      </c>
    </row>
    <row r="10" spans="1:7">
      <c r="A10" s="51" t="s">
        <v>379</v>
      </c>
      <c r="B10" s="51"/>
      <c r="C10" s="51"/>
      <c r="D10" s="51">
        <f t="shared" si="0"/>
        <v>0</v>
      </c>
      <c r="F10" s="120">
        <v>140</v>
      </c>
      <c r="G10">
        <f t="shared" si="1"/>
        <v>0</v>
      </c>
    </row>
    <row r="11" spans="1:7">
      <c r="A11" s="51" t="s">
        <v>380</v>
      </c>
      <c r="B11" s="51"/>
      <c r="C11" s="51"/>
      <c r="D11" s="51">
        <f t="shared" si="0"/>
        <v>0</v>
      </c>
      <c r="F11" s="120">
        <v>425</v>
      </c>
      <c r="G11">
        <f t="shared" si="1"/>
        <v>0</v>
      </c>
    </row>
    <row r="12" spans="1:7">
      <c r="A12" s="144" t="s">
        <v>384</v>
      </c>
      <c r="B12" s="144"/>
    </row>
    <row r="13" spans="1:7">
      <c r="A13" s="51" t="s">
        <v>385</v>
      </c>
      <c r="B13" s="51"/>
      <c r="F13" t="s">
        <v>8</v>
      </c>
      <c r="G13">
        <f>SUM(G8:G11)</f>
        <v>0</v>
      </c>
    </row>
    <row r="14" spans="1:7">
      <c r="A14" s="51" t="s">
        <v>386</v>
      </c>
      <c r="B14" s="53"/>
      <c r="F14" s="143" t="s">
        <v>570</v>
      </c>
    </row>
    <row r="15" spans="1:7">
      <c r="A15" s="51" t="s">
        <v>387</v>
      </c>
      <c r="B15" s="53"/>
    </row>
  </sheetData>
  <mergeCells count="3">
    <mergeCell ref="A12:B12"/>
    <mergeCell ref="A1:B1"/>
    <mergeCell ref="A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29"/>
  <sheetViews>
    <sheetView showGridLines="0" tabSelected="1" zoomScale="70" zoomScaleNormal="70" workbookViewId="0">
      <selection activeCell="J14" sqref="J4:J14"/>
    </sheetView>
  </sheetViews>
  <sheetFormatPr defaultColWidth="10.90625" defaultRowHeight="14.5"/>
  <cols>
    <col min="1" max="2" width="10.90625" style="128"/>
    <col min="4" max="4" width="17.1796875" customWidth="1"/>
    <col min="5" max="5" width="16" customWidth="1"/>
    <col min="6" max="6" width="22.81640625" customWidth="1"/>
    <col min="7" max="7" width="16" customWidth="1"/>
    <col min="8" max="8" width="16.6328125" customWidth="1"/>
    <col min="9" max="9" width="22.81640625" customWidth="1"/>
    <col min="10" max="10" width="14.81640625" customWidth="1"/>
    <col min="11" max="11" width="14.54296875" customWidth="1"/>
    <col min="12" max="12" width="10.81640625" customWidth="1"/>
    <col min="13" max="13" width="14.54296875" customWidth="1"/>
    <col min="14" max="14" width="20.81640625" customWidth="1"/>
    <col min="15" max="16" width="19.54296875" customWidth="1"/>
    <col min="18" max="20" width="15.6328125" customWidth="1"/>
    <col min="21" max="21" width="19.90625" customWidth="1"/>
    <col min="22" max="22" width="15.6328125" customWidth="1"/>
    <col min="23" max="23" width="14.1796875" bestFit="1" customWidth="1"/>
  </cols>
  <sheetData>
    <row r="1" spans="1:23" ht="23.5">
      <c r="A1" s="127" t="s">
        <v>392</v>
      </c>
      <c r="B1" s="127"/>
      <c r="G1" s="49"/>
      <c r="H1" s="49"/>
      <c r="I1" s="49"/>
      <c r="J1" s="49"/>
    </row>
    <row r="2" spans="1:23">
      <c r="J2" s="70">
        <f t="shared" ref="J2" si="0">SUM(J4:J265)</f>
        <v>0</v>
      </c>
      <c r="M2" s="70">
        <f t="shared" ref="M2:N2" si="1">SUM(M4:M265)</f>
        <v>0</v>
      </c>
      <c r="N2" s="71">
        <f t="shared" si="1"/>
        <v>0</v>
      </c>
      <c r="O2" s="71">
        <f>SUM(O4:O265)</f>
        <v>0</v>
      </c>
      <c r="P2" s="71"/>
      <c r="Q2" s="122" t="s">
        <v>515</v>
      </c>
    </row>
    <row r="3" spans="1:23" s="11" customFormat="1" ht="58">
      <c r="A3" s="125" t="s">
        <v>359</v>
      </c>
      <c r="B3" s="126" t="s">
        <v>360</v>
      </c>
      <c r="C3" s="126" t="s">
        <v>365</v>
      </c>
      <c r="D3" s="48" t="s">
        <v>367</v>
      </c>
      <c r="E3" s="78" t="s">
        <v>486</v>
      </c>
      <c r="F3" s="130" t="s">
        <v>370</v>
      </c>
      <c r="G3" s="130" t="s">
        <v>390</v>
      </c>
      <c r="H3" s="130" t="s">
        <v>366</v>
      </c>
      <c r="I3" s="130" t="s">
        <v>369</v>
      </c>
      <c r="J3" s="48" t="s">
        <v>395</v>
      </c>
      <c r="K3" s="48" t="s">
        <v>391</v>
      </c>
      <c r="L3" s="48" t="s">
        <v>368</v>
      </c>
      <c r="M3" s="48" t="s">
        <v>396</v>
      </c>
      <c r="N3" s="48" t="s">
        <v>371</v>
      </c>
      <c r="O3" s="48" t="s">
        <v>372</v>
      </c>
      <c r="P3" s="78" t="s">
        <v>487</v>
      </c>
      <c r="R3" s="151"/>
      <c r="S3" s="151"/>
      <c r="T3" s="58" t="s">
        <v>6</v>
      </c>
      <c r="U3" s="58" t="s">
        <v>7</v>
      </c>
      <c r="V3" s="59"/>
      <c r="W3" s="58" t="s">
        <v>8</v>
      </c>
    </row>
    <row r="4" spans="1:23">
      <c r="A4" s="137"/>
      <c r="B4" s="138"/>
      <c r="C4" s="138"/>
      <c r="D4" s="129" t="str">
        <f>IF(K4="","",VLOOKUP(F4,Tabelle1!$A$2:$C$496,3,0))</f>
        <v/>
      </c>
      <c r="E4" s="57" t="str">
        <f>IF(K4="","",VLOOKUP(F4,Tabelle1!$A$2:$M$496,13,0))</f>
        <v/>
      </c>
      <c r="F4" s="119"/>
      <c r="G4" s="54"/>
      <c r="H4" s="139"/>
      <c r="I4" s="141"/>
      <c r="J4" s="129"/>
      <c r="K4" s="57" t="str">
        <f>IF(F4="","",C4*G4*H4)</f>
        <v/>
      </c>
      <c r="L4" s="57" t="str">
        <f>IF(K4="","",VLOOKUP(F4,Tabelle1!$A$2:$I$496,9,0))</f>
        <v/>
      </c>
      <c r="M4" s="57" t="str">
        <f>IF(K4="","",VLOOKUP(F4,Tabelle1!$A$2:$G$496,7,0))</f>
        <v/>
      </c>
      <c r="N4" s="66" t="str">
        <f t="shared" ref="N4" si="2">IF(M4&gt;0,O4,"")</f>
        <v/>
      </c>
      <c r="O4" s="66" t="str">
        <f>IF(K4="","",((K4*VLOOKUP(F4,Tabelle1!$A$2:$I$496,8,0))/$W$4))</f>
        <v/>
      </c>
      <c r="P4" s="76" t="str">
        <f>IF(K4="","",VLOOKUP(F4,Tabelle1!$A$2:$L$496,12,0))</f>
        <v/>
      </c>
      <c r="R4" s="61" t="s">
        <v>10</v>
      </c>
      <c r="S4" s="61"/>
      <c r="T4" s="62">
        <f>(SUM(O4:O265))</f>
        <v>0</v>
      </c>
      <c r="U4" s="62">
        <f>SUM(N4:N265)</f>
        <v>0</v>
      </c>
      <c r="V4" s="63"/>
      <c r="W4" s="62">
        <f>U45</f>
        <v>0</v>
      </c>
    </row>
    <row r="5" spans="1:23">
      <c r="A5" s="137"/>
      <c r="B5" s="138"/>
      <c r="C5" s="138"/>
      <c r="D5" s="129" t="str">
        <f>IF(K5="","",VLOOKUP(F5,Tabelle1!$A$2:$C$496,3,0))</f>
        <v/>
      </c>
      <c r="E5" s="57" t="str">
        <f>IF(K5="","",VLOOKUP(F5,Tabelle1!$A$2:$M$496,13,0))</f>
        <v/>
      </c>
      <c r="F5" s="119"/>
      <c r="G5" s="54"/>
      <c r="H5" s="139"/>
      <c r="I5" s="141"/>
      <c r="J5" s="129"/>
      <c r="K5" s="57" t="str">
        <f>IF(F5="","",C5*G5*H5)</f>
        <v/>
      </c>
      <c r="L5" s="57" t="str">
        <f>IF(K5="","",VLOOKUP(F5,Tabelle1!$A$2:$I$496,9,0))</f>
        <v/>
      </c>
      <c r="M5" s="57" t="str">
        <f>IF(K5="","",VLOOKUP(F5,Tabelle1!$A$2:$G$496,7,0))</f>
        <v/>
      </c>
      <c r="N5" s="66" t="str">
        <f t="shared" ref="N5:N68" si="3">IF(M5&gt;0,O5,"")</f>
        <v/>
      </c>
      <c r="O5" s="66" t="str">
        <f>IF(K5="","",((K5*VLOOKUP(F5,Tabelle1!$A$2:$I$496,8,0))/$W$4))</f>
        <v/>
      </c>
      <c r="P5" s="76" t="str">
        <f>IF(K5="","",VLOOKUP(F5,Tabelle1!$A$2:$L$496,12,0))</f>
        <v/>
      </c>
      <c r="R5" s="63"/>
      <c r="S5" s="63"/>
      <c r="T5" s="63"/>
      <c r="U5" s="63"/>
      <c r="V5" s="63"/>
    </row>
    <row r="6" spans="1:23">
      <c r="A6" s="137"/>
      <c r="B6" s="138"/>
      <c r="C6" s="138"/>
      <c r="D6" s="129" t="str">
        <f>IF(K6="","",VLOOKUP(F6,Tabelle1!$A$2:$C$496,3,0))</f>
        <v/>
      </c>
      <c r="E6" s="57" t="str">
        <f>IF(K6="","",VLOOKUP(F6,Tabelle1!$A$2:$M$496,13,0))</f>
        <v/>
      </c>
      <c r="F6" s="119"/>
      <c r="G6" s="54"/>
      <c r="H6" s="139"/>
      <c r="I6" s="141"/>
      <c r="J6" s="129"/>
      <c r="K6" s="57" t="str">
        <f>IF(F6="","",C6*G6*H6)</f>
        <v/>
      </c>
      <c r="L6" s="57" t="str">
        <f>IF(K6="","",VLOOKUP(F6,Tabelle1!$A$2:$I$496,9,0))</f>
        <v/>
      </c>
      <c r="M6" s="57" t="str">
        <f>IF(K6="","",VLOOKUP(F6,Tabelle1!$A$2:$G$496,7,0))</f>
        <v/>
      </c>
      <c r="N6" s="66" t="str">
        <f t="shared" si="3"/>
        <v/>
      </c>
      <c r="O6" s="66" t="str">
        <f>IF(K6="","",((K6*VLOOKUP(F6,Tabelle1!$A$2:$I$496,8,0))/$W$4))</f>
        <v/>
      </c>
      <c r="P6" s="76" t="str">
        <f>IF(K6="","",VLOOKUP(F6,Tabelle1!$A$2:$L$496,12,0))</f>
        <v/>
      </c>
      <c r="R6" s="63"/>
      <c r="S6" s="63"/>
      <c r="T6" s="63"/>
      <c r="U6" s="63"/>
      <c r="V6" s="63"/>
    </row>
    <row r="7" spans="1:23" ht="29">
      <c r="A7" s="137"/>
      <c r="B7" s="138"/>
      <c r="C7" s="138"/>
      <c r="D7" s="129" t="str">
        <f>IF(K7="","",VLOOKUP(F7,Tabelle1!$A$2:$C$496,3,0))</f>
        <v/>
      </c>
      <c r="E7" s="57" t="str">
        <f>IF(K7="","",VLOOKUP(F7,Tabelle1!$A$2:$M$496,13,0))</f>
        <v/>
      </c>
      <c r="F7" s="119"/>
      <c r="G7" s="54"/>
      <c r="H7" s="139"/>
      <c r="I7" s="141"/>
      <c r="J7" s="129"/>
      <c r="K7" s="57" t="str">
        <f>IF(F7="","",C7*G7*H7)</f>
        <v/>
      </c>
      <c r="L7" s="57" t="str">
        <f>IF(K7="","",VLOOKUP(F7,Tabelle1!$A$2:$I$496,9,0))</f>
        <v/>
      </c>
      <c r="M7" s="57" t="str">
        <f>IF(K7="","",VLOOKUP(F7,Tabelle1!$A$2:$G$496,7,0))</f>
        <v/>
      </c>
      <c r="N7" s="66" t="str">
        <f t="shared" si="3"/>
        <v/>
      </c>
      <c r="O7" s="66" t="str">
        <f>IF(K7="","",((K7*VLOOKUP(F7,Tabelle1!$A$2:$I$496,8,0))/$W$4))</f>
        <v/>
      </c>
      <c r="P7" s="76" t="str">
        <f>IF(K7="","",VLOOKUP(F7,Tabelle1!$A$2:$L$496,12,0))</f>
        <v/>
      </c>
      <c r="R7" s="148" t="s">
        <v>2</v>
      </c>
      <c r="S7" s="148"/>
      <c r="T7" s="58" t="s">
        <v>5</v>
      </c>
      <c r="U7" s="58" t="s">
        <v>4</v>
      </c>
      <c r="V7" s="13"/>
    </row>
    <row r="8" spans="1:23">
      <c r="A8" s="137"/>
      <c r="B8" s="138"/>
      <c r="C8" s="138"/>
      <c r="D8" s="129" t="str">
        <f>IF(K8="","",VLOOKUP(F8,Tabelle1!$A$2:$C$496,3,0))</f>
        <v/>
      </c>
      <c r="E8" s="57" t="str">
        <f>IF(K8="","",VLOOKUP(F8,Tabelle1!$A$2:$M$496,13,0))</f>
        <v/>
      </c>
      <c r="F8" s="119"/>
      <c r="G8" s="54"/>
      <c r="H8" s="139"/>
      <c r="I8" s="141"/>
      <c r="J8" s="129"/>
      <c r="K8" s="57" t="str">
        <f>IF(F8="","",C9*G8*H8)</f>
        <v/>
      </c>
      <c r="L8" s="57" t="str">
        <f>IF(K8="","",VLOOKUP(F8,Tabelle1!$A$2:$I$496,9,0))</f>
        <v/>
      </c>
      <c r="M8" s="57" t="str">
        <f>IF(K8="","",VLOOKUP(F8,Tabelle1!$A$2:$G$496,7,0))</f>
        <v/>
      </c>
      <c r="N8" s="66" t="str">
        <f t="shared" si="3"/>
        <v/>
      </c>
      <c r="O8" s="66" t="str">
        <f>IF(K8="","",((K8*VLOOKUP(F8,Tabelle1!$A$2:$I$496,8,0))/$W$4))</f>
        <v/>
      </c>
      <c r="P8" s="76" t="str">
        <f>IF(K8="","",VLOOKUP(F8,Tabelle1!$A$2:$L$496,12,0))</f>
        <v/>
      </c>
      <c r="R8" s="149" t="s">
        <v>14</v>
      </c>
      <c r="S8" s="149"/>
      <c r="T8" s="64">
        <f>SUMIFS($O$4:$O$265,$M$4:$M$265,"0",$D$4:$D$265,R8)</f>
        <v>0</v>
      </c>
      <c r="U8" s="64">
        <f>SUMIFS($O$4:$O$265,$M$4:$M$265,"1",$D$4:$D$265,R8)</f>
        <v>0</v>
      </c>
      <c r="V8" s="124" t="s">
        <v>516</v>
      </c>
    </row>
    <row r="9" spans="1:23">
      <c r="A9" s="137"/>
      <c r="B9" s="138"/>
      <c r="C9" s="138"/>
      <c r="D9" s="129" t="str">
        <f>IF(K9="","",VLOOKUP(F9,Tabelle1!$A$2:$C$496,3,0))</f>
        <v/>
      </c>
      <c r="E9" s="57" t="str">
        <f>IF(K9="","",VLOOKUP(F9,Tabelle1!$A$2:$M$496,13,0))</f>
        <v/>
      </c>
      <c r="F9" s="119"/>
      <c r="G9" s="54"/>
      <c r="H9" s="139"/>
      <c r="I9" s="141"/>
      <c r="J9" s="129"/>
      <c r="K9" s="57" t="str">
        <f t="shared" ref="K9:K14" si="4">IF(F9="","",C10*G9*H9)</f>
        <v/>
      </c>
      <c r="L9" s="57" t="str">
        <f>IF(K9="","",VLOOKUP(F9,Tabelle1!$A$2:$I$496,9,0))</f>
        <v/>
      </c>
      <c r="M9" s="57" t="str">
        <f>IF(K9="","",VLOOKUP(F9,Tabelle1!$A$2:$G$496,7,0))</f>
        <v/>
      </c>
      <c r="N9" s="66" t="str">
        <f t="shared" si="3"/>
        <v/>
      </c>
      <c r="O9" s="66" t="str">
        <f>IF(K9="","",((K9*VLOOKUP(F9,Tabelle1!$A$2:$I$496,8,0))/$W$4))</f>
        <v/>
      </c>
      <c r="P9" s="76" t="str">
        <f>IF(K9="","",VLOOKUP(F9,Tabelle1!$A$2:$L$496,12,0))</f>
        <v/>
      </c>
      <c r="R9" s="149" t="s">
        <v>16</v>
      </c>
      <c r="S9" s="149"/>
      <c r="T9" s="64">
        <f>SUMIFS($O$4:$O$265,$M$4:$M$265,"0",$D$4:$D$265,R9)</f>
        <v>0</v>
      </c>
      <c r="U9" s="64">
        <f>SUMIFS($O$4:$O$265,$M$4:$M$265,"1",$D$4:$D$265,R9)</f>
        <v>0</v>
      </c>
      <c r="V9" s="14"/>
    </row>
    <row r="10" spans="1:23" ht="36.65" customHeight="1">
      <c r="A10" s="137"/>
      <c r="B10" s="138"/>
      <c r="C10" s="138"/>
      <c r="D10" s="129" t="str">
        <f>IF(K10="","",VLOOKUP(F10,Tabelle1!$A$2:$C$496,3,0))</f>
        <v/>
      </c>
      <c r="E10" s="57" t="str">
        <f>IF(K10="","",VLOOKUP(F10,Tabelle1!$A$2:$M$496,13,0))</f>
        <v/>
      </c>
      <c r="F10" s="119"/>
      <c r="G10" s="54"/>
      <c r="H10" s="139"/>
      <c r="I10" s="141"/>
      <c r="J10" s="129"/>
      <c r="K10" s="57" t="str">
        <f t="shared" si="4"/>
        <v/>
      </c>
      <c r="L10" s="57" t="str">
        <f>IF(K10="","",VLOOKUP(F10,Tabelle1!$A$2:$I$496,9,0))</f>
        <v/>
      </c>
      <c r="M10" s="57" t="str">
        <f>IF(K10="","",VLOOKUP(F10,Tabelle1!$A$2:$G$496,7,0))</f>
        <v/>
      </c>
      <c r="N10" s="66" t="str">
        <f t="shared" si="3"/>
        <v/>
      </c>
      <c r="O10" s="66" t="str">
        <f>IF(K10="","",((K10*VLOOKUP(F10,Tabelle1!$A$2:$I$496,8,0))/$W$4))</f>
        <v/>
      </c>
      <c r="P10" s="76" t="str">
        <f>IF(K10="","",VLOOKUP(F10,Tabelle1!$A$2:$L$496,12,0))</f>
        <v/>
      </c>
      <c r="R10" s="149" t="s">
        <v>17</v>
      </c>
      <c r="S10" s="149"/>
      <c r="T10" s="64">
        <f>SUMIFS($O$4:$O$265,$M$4:$M$265,"0",$D$4:$D$265,R10)</f>
        <v>0</v>
      </c>
      <c r="U10" s="64">
        <f>SUMIFS($O$4:$O$265,$M$4:$M$265,"1",$D$4:$D$265,R10)</f>
        <v>0</v>
      </c>
      <c r="V10" s="14"/>
    </row>
    <row r="11" spans="1:23">
      <c r="A11" s="137"/>
      <c r="B11" s="138"/>
      <c r="C11" s="138"/>
      <c r="D11" s="129" t="str">
        <f>IF(K11="","",VLOOKUP(F11,Tabelle1!$A$2:$C$496,3,0))</f>
        <v/>
      </c>
      <c r="E11" s="57" t="str">
        <f>IF(K11="","",VLOOKUP(F11,Tabelle1!$A$2:$M$496,13,0))</f>
        <v/>
      </c>
      <c r="F11" s="119"/>
      <c r="G11" s="54"/>
      <c r="H11" s="139"/>
      <c r="I11" s="141"/>
      <c r="J11" s="129"/>
      <c r="K11" s="57" t="str">
        <f t="shared" si="4"/>
        <v/>
      </c>
      <c r="L11" s="57" t="str">
        <f>IF(K11="","",VLOOKUP(F11,Tabelle1!$A$2:$I$496,9,0))</f>
        <v/>
      </c>
      <c r="M11" s="57" t="str">
        <f>IF(K11="","",VLOOKUP(F11,Tabelle1!$A$2:$G$496,7,0))</f>
        <v/>
      </c>
      <c r="N11" s="66" t="str">
        <f t="shared" si="3"/>
        <v/>
      </c>
      <c r="O11" s="66" t="str">
        <f>IF(K11="","",((K11*VLOOKUP(F11,Tabelle1!$A$2:$I$496,8,0))/$W$4))</f>
        <v/>
      </c>
      <c r="P11" s="76" t="str">
        <f>IF(K11="","",VLOOKUP(F11,Tabelle1!$A$2:$L$496,12,0))</f>
        <v/>
      </c>
      <c r="R11" s="149" t="s">
        <v>19</v>
      </c>
      <c r="S11" s="149"/>
      <c r="T11" s="64">
        <f>SUM(T13:T16)</f>
        <v>0</v>
      </c>
      <c r="U11" s="64">
        <f>SUM(U13:U16)</f>
        <v>0</v>
      </c>
      <c r="V11" s="14"/>
    </row>
    <row r="12" spans="1:23">
      <c r="A12" s="137"/>
      <c r="B12" s="138"/>
      <c r="C12" s="138"/>
      <c r="D12" s="129" t="str">
        <f>IF(K12="","",VLOOKUP(F12,Tabelle1!$A$2:$C$496,3,0))</f>
        <v/>
      </c>
      <c r="E12" s="57" t="str">
        <f>IF(K12="","",VLOOKUP(F12,Tabelle1!$A$2:$M$496,13,0))</f>
        <v/>
      </c>
      <c r="F12" s="119"/>
      <c r="G12" s="54"/>
      <c r="H12" s="139"/>
      <c r="I12" s="141"/>
      <c r="J12" s="129"/>
      <c r="K12" s="57" t="str">
        <f t="shared" si="4"/>
        <v/>
      </c>
      <c r="L12" s="57" t="str">
        <f>IF(K12="","",VLOOKUP(F12,Tabelle1!$A$2:$I$496,9,0))</f>
        <v/>
      </c>
      <c r="M12" s="57" t="str">
        <f>IF(K12="","",VLOOKUP(F12,Tabelle1!$A$2:$G$496,7,0))</f>
        <v/>
      </c>
      <c r="N12" s="66" t="str">
        <f t="shared" si="3"/>
        <v/>
      </c>
      <c r="O12" s="66" t="str">
        <f>IF(K12="","",((K12*VLOOKUP(F12,Tabelle1!$A$2:$I$496,8,0))/$W$4))</f>
        <v/>
      </c>
      <c r="P12" s="76" t="str">
        <f>IF(K12="","",VLOOKUP(F12,Tabelle1!$A$2:$L$496,12,0))</f>
        <v/>
      </c>
      <c r="R12" s="148" t="s">
        <v>20</v>
      </c>
      <c r="S12" s="148"/>
      <c r="T12" s="65">
        <f>SUM(T8:T11)</f>
        <v>0</v>
      </c>
      <c r="U12" s="65">
        <f>SUM(U8:U11)</f>
        <v>0</v>
      </c>
      <c r="V12" s="65">
        <f>T12+U12</f>
        <v>0</v>
      </c>
    </row>
    <row r="13" spans="1:23" ht="28.75" customHeight="1">
      <c r="A13" s="137"/>
      <c r="B13" s="138"/>
      <c r="C13" s="138"/>
      <c r="D13" s="129" t="str">
        <f>IF(K13="","",VLOOKUP(F13,Tabelle1!$A$2:$C$496,3,0))</f>
        <v/>
      </c>
      <c r="E13" s="57" t="str">
        <f>IF(K13="","",VLOOKUP(F13,Tabelle1!$A$2:$M$496,13,0))</f>
        <v/>
      </c>
      <c r="F13" s="119"/>
      <c r="G13" s="54"/>
      <c r="H13" s="139"/>
      <c r="I13" s="141"/>
      <c r="J13" s="129"/>
      <c r="K13" s="57" t="str">
        <f t="shared" si="4"/>
        <v/>
      </c>
      <c r="L13" s="57" t="str">
        <f>IF(K13="","",VLOOKUP(F13,Tabelle1!$A$2:$I$496,9,0))</f>
        <v/>
      </c>
      <c r="M13" s="57" t="str">
        <f>IF(K13="","",VLOOKUP(F13,Tabelle1!$A$2:$G$496,7,0))</f>
        <v/>
      </c>
      <c r="N13" s="66" t="str">
        <f t="shared" si="3"/>
        <v/>
      </c>
      <c r="O13" s="66" t="str">
        <f>IF(K13="","",((K13*VLOOKUP(F13,Tabelle1!$A$2:$I$496,8,0))/$W$4))</f>
        <v/>
      </c>
      <c r="P13" s="76" t="str">
        <f>IF(K13="","",VLOOKUP(F13,Tabelle1!$A$2:$L$496,12,0))</f>
        <v/>
      </c>
      <c r="R13" s="149" t="s">
        <v>22</v>
      </c>
      <c r="S13" s="149"/>
      <c r="T13" s="64">
        <f>SUMIFS($O$4:$O$265,$M$4:$M$265,"0",$D$4:$D$265,R13)</f>
        <v>0</v>
      </c>
      <c r="U13" s="64">
        <f>SUMIFS($O$4:$O$265,$M$4:$M$265,"1",$D$4:$D$265,R13)</f>
        <v>0</v>
      </c>
      <c r="V13" s="14"/>
    </row>
    <row r="14" spans="1:23">
      <c r="A14" s="137"/>
      <c r="B14" s="138"/>
      <c r="C14" s="138"/>
      <c r="D14" s="129" t="str">
        <f>IF(K14="","",VLOOKUP(F14,Tabelle1!$A$2:$C$496,3,0))</f>
        <v/>
      </c>
      <c r="E14" s="57" t="str">
        <f>IF(K14="","",VLOOKUP(F14,Tabelle1!$A$2:$M$496,13,0))</f>
        <v/>
      </c>
      <c r="F14" s="119"/>
      <c r="G14" s="54"/>
      <c r="H14" s="139"/>
      <c r="I14" s="141"/>
      <c r="J14" s="129"/>
      <c r="K14" s="57" t="str">
        <f t="shared" si="4"/>
        <v/>
      </c>
      <c r="L14" s="57" t="str">
        <f>IF(K14="","",VLOOKUP(F14,Tabelle1!$A$2:$I$496,9,0))</f>
        <v/>
      </c>
      <c r="M14" s="57" t="str">
        <f>IF(K14="","",VLOOKUP(F14,Tabelle1!$A$2:$G$496,7,0))</f>
        <v/>
      </c>
      <c r="N14" s="66" t="str">
        <f t="shared" si="3"/>
        <v/>
      </c>
      <c r="O14" s="66" t="str">
        <f>IF(K14="","",((K14*VLOOKUP(F14,Tabelle1!$A$2:$I$496,8,0))/$W$4))</f>
        <v/>
      </c>
      <c r="P14" s="76" t="str">
        <f>IF(K14="","",VLOOKUP(F14,Tabelle1!$A$2:$L$496,12,0))</f>
        <v/>
      </c>
      <c r="R14" s="149" t="s">
        <v>23</v>
      </c>
      <c r="S14" s="149"/>
      <c r="T14" s="64">
        <f>SUMIFS($O$4:$O$265,$M$4:$M$265,"0",$D$4:$D$265,R14)</f>
        <v>0</v>
      </c>
      <c r="U14" s="64">
        <f>SUMIFS($O$4:$O$265,$M$4:$M$265,"1",$D$4:$D$265,R14)</f>
        <v>0</v>
      </c>
      <c r="V14" s="14"/>
    </row>
    <row r="15" spans="1:23">
      <c r="A15" s="137"/>
      <c r="B15" s="138"/>
      <c r="C15" s="138"/>
      <c r="D15" s="57" t="str">
        <f>IF(K15="","",VLOOKUP(F15,Tabelle1!$A$2:$C$496,3,0))</f>
        <v/>
      </c>
      <c r="E15" s="57" t="str">
        <f>IF(K15="","",VLOOKUP(F15,Tabelle1!$A$2:$M$496,13,0))</f>
        <v/>
      </c>
      <c r="F15" s="119"/>
      <c r="G15" s="54"/>
      <c r="H15" s="139"/>
      <c r="I15" s="141"/>
      <c r="J15" s="129"/>
      <c r="K15" s="57" t="str">
        <f t="shared" ref="K15" si="5">IF(F15="","",C16*G15*H15)</f>
        <v/>
      </c>
      <c r="L15" s="57" t="str">
        <f>IF(K15="","",VLOOKUP(F15,Tabelle1!$A$2:$I$496,9,0))</f>
        <v/>
      </c>
      <c r="M15" s="57" t="str">
        <f>IF(K15="","",VLOOKUP(F15,Tabelle1!$A$2:$G$496,7,0))</f>
        <v/>
      </c>
      <c r="N15" s="66" t="str">
        <f t="shared" ref="N15" si="6">IF(M15&gt;0,O15,"")</f>
        <v/>
      </c>
      <c r="O15" s="66" t="str">
        <f>IF(K15="","",((K15*VLOOKUP(F15,Tabelle1!$A$2:$I$496,8,0))/$W$4))</f>
        <v/>
      </c>
      <c r="P15" s="76" t="str">
        <f>IF(K15="","",VLOOKUP(F15,Tabelle1!$A$2:$L$496,12,0))</f>
        <v/>
      </c>
      <c r="R15" s="149" t="s">
        <v>24</v>
      </c>
      <c r="S15" s="149"/>
      <c r="T15" s="64">
        <f>SUMIFS($O$4:$O$265,$M$4:$M$265,"0",$D$4:$D$265,R15)</f>
        <v>0</v>
      </c>
      <c r="U15" s="64">
        <f>SUMIFS($O$4:$O$265,$M$4:$M$265,"1",$D$4:$D$265,R15)</f>
        <v>0</v>
      </c>
      <c r="V15" s="14"/>
    </row>
    <row r="16" spans="1:23">
      <c r="A16" s="137"/>
      <c r="B16" s="138"/>
      <c r="C16" s="138"/>
      <c r="D16" s="57" t="str">
        <f>IF(K16="","",VLOOKUP(F16,Tabelle1!$A$2:$C$496,3,0))</f>
        <v/>
      </c>
      <c r="E16" s="57" t="str">
        <f>IF(K16="","",VLOOKUP(F16,Tabelle1!$A$2:$M$496,13,0))</f>
        <v/>
      </c>
      <c r="F16" s="119"/>
      <c r="G16" s="54"/>
      <c r="H16" s="139"/>
      <c r="I16" s="141"/>
      <c r="J16" s="129"/>
      <c r="K16" s="57" t="str">
        <f t="shared" ref="K16:K68" si="7">IF(F16="","",C16*G16*H16)</f>
        <v/>
      </c>
      <c r="L16" s="57" t="str">
        <f>IF(K16="","",VLOOKUP(F16,Tabelle1!$A$2:$I$496,9,0))</f>
        <v/>
      </c>
      <c r="M16" s="57" t="str">
        <f>IF(K16="","",VLOOKUP(F16,Tabelle1!$A$2:$G$496,7,0))</f>
        <v/>
      </c>
      <c r="N16" s="66" t="str">
        <f t="shared" si="3"/>
        <v/>
      </c>
      <c r="O16" s="66" t="str">
        <f>IF(K16="","",((K16*VLOOKUP(F16,Tabelle1!$A$2:$I$496,8,0))/$W$4))</f>
        <v/>
      </c>
      <c r="P16" s="76" t="str">
        <f>IF(K16="","",VLOOKUP(F16,Tabelle1!$A$2:$L$496,12,0))</f>
        <v/>
      </c>
      <c r="R16" s="149" t="s">
        <v>26</v>
      </c>
      <c r="S16" s="149"/>
      <c r="T16" s="64">
        <f>SUMIFS($O$4:$O$265,$M$4:$M$265,"0",$D$4:$D$265,R16)</f>
        <v>0</v>
      </c>
      <c r="U16" s="64">
        <f>SUMIFS($O$4:$O$265,$M$4:$M$265,"1",$D$4:$D$265,R16)</f>
        <v>0</v>
      </c>
      <c r="V16" s="14"/>
    </row>
    <row r="17" spans="1:22">
      <c r="A17" s="137"/>
      <c r="B17" s="138"/>
      <c r="C17" s="138"/>
      <c r="D17" s="57" t="str">
        <f>IF(K17="","",VLOOKUP(F17,Tabelle1!$A$2:$C$496,3,0))</f>
        <v/>
      </c>
      <c r="E17" s="57" t="str">
        <f>IF(K17="","",VLOOKUP(F17,Tabelle1!$A$2:$M$496,13,0))</f>
        <v/>
      </c>
      <c r="F17" s="119"/>
      <c r="G17" s="54"/>
      <c r="H17" s="139"/>
      <c r="I17" s="141"/>
      <c r="J17" s="129"/>
      <c r="K17" s="57" t="str">
        <f t="shared" si="7"/>
        <v/>
      </c>
      <c r="L17" s="57" t="str">
        <f>IF(K17="","",VLOOKUP(F17,Tabelle1!$A$2:$I$496,9,0))</f>
        <v/>
      </c>
      <c r="M17" s="57" t="str">
        <f>IF(K17="","",VLOOKUP(F17,Tabelle1!$A$2:$G$496,7,0))</f>
        <v/>
      </c>
      <c r="N17" s="66" t="str">
        <f t="shared" si="3"/>
        <v/>
      </c>
      <c r="O17" s="66" t="str">
        <f>IF(K17="","",((K17*VLOOKUP(F17,Tabelle1!$A$2:$I$496,8,0))/$W$4))</f>
        <v/>
      </c>
      <c r="P17" s="76" t="str">
        <f>IF(K17="","",VLOOKUP(F17,Tabelle1!$A$2:$L$496,12,0))</f>
        <v/>
      </c>
      <c r="R17" s="64"/>
      <c r="S17" s="64"/>
      <c r="T17" s="64"/>
      <c r="U17" s="64"/>
      <c r="V17" s="14"/>
    </row>
    <row r="18" spans="1:22">
      <c r="A18" s="137"/>
      <c r="B18" s="138"/>
      <c r="C18" s="138"/>
      <c r="D18" s="57" t="str">
        <f>IF(K18="","",VLOOKUP(F18,Tabelle1!$A$2:$C$496,3,0))</f>
        <v/>
      </c>
      <c r="E18" s="57" t="str">
        <f>IF(K18="","",VLOOKUP(F18,Tabelle1!$A$2:$M$496,13,0))</f>
        <v/>
      </c>
      <c r="F18" s="36"/>
      <c r="G18" s="54"/>
      <c r="H18" s="139"/>
      <c r="I18" s="140"/>
      <c r="J18" s="129"/>
      <c r="K18" s="57" t="str">
        <f t="shared" si="7"/>
        <v/>
      </c>
      <c r="L18" s="57" t="str">
        <f>IF(K18="","",VLOOKUP(F18,Tabelle1!$A$2:$I$496,9,0))</f>
        <v/>
      </c>
      <c r="M18" s="57" t="str">
        <f>IF(K18="","",VLOOKUP(F18,Tabelle1!$A$2:$G$496,7,0))</f>
        <v/>
      </c>
      <c r="N18" s="66" t="str">
        <f t="shared" si="3"/>
        <v/>
      </c>
      <c r="O18" s="66" t="str">
        <f>IF(K18="","",((K18*VLOOKUP(F18,Tabelle1!$A$2:$I$496,8,0))/$W$4))</f>
        <v/>
      </c>
      <c r="P18" s="76" t="str">
        <f>IF(K18="","",VLOOKUP(F18,Tabelle1!$A$2:$L$496,12,0))</f>
        <v/>
      </c>
      <c r="V18" s="14"/>
    </row>
    <row r="19" spans="1:22">
      <c r="A19" s="137"/>
      <c r="B19" s="138"/>
      <c r="C19" s="138"/>
      <c r="D19" s="57" t="str">
        <f>IF(K19="","",VLOOKUP(F19,Tabelle1!$A$2:$C$496,3,0))</f>
        <v/>
      </c>
      <c r="E19" s="57" t="str">
        <f>IF(K19="","",VLOOKUP(F19,Tabelle1!$A$2:$M$496,13,0))</f>
        <v/>
      </c>
      <c r="F19" s="119"/>
      <c r="G19" s="54"/>
      <c r="H19" s="139"/>
      <c r="I19" s="140"/>
      <c r="J19" s="129"/>
      <c r="K19" s="57" t="str">
        <f t="shared" si="7"/>
        <v/>
      </c>
      <c r="L19" s="57" t="str">
        <f>IF(K19="","",VLOOKUP(F19,Tabelle1!$A$2:$I$496,9,0))</f>
        <v/>
      </c>
      <c r="M19" s="57" t="str">
        <f>IF(K19="","",VLOOKUP(F19,Tabelle1!$A$2:$G$496,7,0))</f>
        <v/>
      </c>
      <c r="N19" s="66" t="str">
        <f t="shared" si="3"/>
        <v/>
      </c>
      <c r="O19" s="66" t="str">
        <f>IF(K19="","",((K19*VLOOKUP(F19,Tabelle1!$A$2:$I$496,8,0))/$W$4))</f>
        <v/>
      </c>
      <c r="P19" s="76" t="str">
        <f>IF(K19="","",VLOOKUP(F19,Tabelle1!$A$2:$L$496,12,0))</f>
        <v/>
      </c>
    </row>
    <row r="20" spans="1:22">
      <c r="A20" s="137"/>
      <c r="B20" s="138"/>
      <c r="C20" s="138"/>
      <c r="D20" s="57" t="str">
        <f>IF(K20="","",VLOOKUP(F20,Tabelle1!$A$2:$C$496,3,0))</f>
        <v/>
      </c>
      <c r="E20" s="57" t="str">
        <f>IF(K20="","",VLOOKUP(F20,Tabelle1!$A$2:$M$496,13,0))</f>
        <v/>
      </c>
      <c r="F20" s="119"/>
      <c r="G20" s="54"/>
      <c r="H20" s="139"/>
      <c r="I20" s="141"/>
      <c r="J20" s="129"/>
      <c r="K20" s="57" t="str">
        <f t="shared" si="7"/>
        <v/>
      </c>
      <c r="L20" s="57" t="str">
        <f>IF(K20="","",VLOOKUP(F20,Tabelle1!$A$2:$I$496,9,0))</f>
        <v/>
      </c>
      <c r="M20" s="57" t="str">
        <f>IF(K20="","",VLOOKUP(F20,Tabelle1!$A$2:$G$496,7,0))</f>
        <v/>
      </c>
      <c r="N20" s="66" t="str">
        <f t="shared" si="3"/>
        <v/>
      </c>
      <c r="O20" s="66" t="str">
        <f>IF(K20="","",((K20*VLOOKUP(F20,Tabelle1!$A$2:$I$496,8,0))/$W$4))</f>
        <v/>
      </c>
      <c r="P20" s="76" t="str">
        <f>IF(K20="","",VLOOKUP(F20,Tabelle1!$A$2:$L$496,12,0))</f>
        <v/>
      </c>
    </row>
    <row r="21" spans="1:22">
      <c r="A21" s="137"/>
      <c r="B21" s="138"/>
      <c r="C21" s="138"/>
      <c r="D21" s="57" t="str">
        <f>IF(K21="","",VLOOKUP(F21,Tabelle1!$A$2:$C$496,3,0))</f>
        <v/>
      </c>
      <c r="E21" s="57" t="str">
        <f>IF(K21="","",VLOOKUP(F21,Tabelle1!$A$2:$M$496,13,0))</f>
        <v/>
      </c>
      <c r="F21" s="119"/>
      <c r="G21" s="54"/>
      <c r="H21" s="139"/>
      <c r="I21" s="141"/>
      <c r="J21" s="129"/>
      <c r="K21" s="57" t="str">
        <f t="shared" si="7"/>
        <v/>
      </c>
      <c r="L21" s="57" t="str">
        <f>IF(K21="","",VLOOKUP(F21,Tabelle1!$A$2:$I$496,9,0))</f>
        <v/>
      </c>
      <c r="M21" s="57" t="str">
        <f>IF(K21="","",VLOOKUP(F21,Tabelle1!$A$2:$G$496,7,0))</f>
        <v/>
      </c>
      <c r="N21" s="66" t="str">
        <f t="shared" si="3"/>
        <v/>
      </c>
      <c r="O21" s="66" t="str">
        <f>IF(K21="","",((K21*VLOOKUP(F21,Tabelle1!$A$2:$I$496,8,0))/$W$4))</f>
        <v/>
      </c>
      <c r="P21" s="76" t="str">
        <f>IF(K21="","",VLOOKUP(F21,Tabelle1!$A$2:$L$496,12,0))</f>
        <v/>
      </c>
    </row>
    <row r="22" spans="1:22">
      <c r="A22" s="137"/>
      <c r="B22" s="138"/>
      <c r="C22" s="138"/>
      <c r="D22" s="57" t="str">
        <f>IF(K22="","",VLOOKUP(F22,Tabelle1!$A$2:$C$496,3,0))</f>
        <v/>
      </c>
      <c r="E22" s="57" t="str">
        <f>IF(K22="","",VLOOKUP(F22,Tabelle1!$A$2:$M$496,13,0))</f>
        <v/>
      </c>
      <c r="F22" s="105"/>
      <c r="G22" s="54"/>
      <c r="H22" s="139"/>
      <c r="I22" s="140"/>
      <c r="J22" s="129"/>
      <c r="K22" s="57" t="str">
        <f t="shared" si="7"/>
        <v/>
      </c>
      <c r="L22" s="57" t="str">
        <f>IF(K22="","",VLOOKUP(F22,Tabelle1!$A$2:$I$496,9,0))</f>
        <v/>
      </c>
      <c r="M22" s="57" t="str">
        <f>IF(K22="","",VLOOKUP(F22,Tabelle1!$A$2:$G$496,7,0))</f>
        <v/>
      </c>
      <c r="N22" s="66" t="str">
        <f t="shared" si="3"/>
        <v/>
      </c>
      <c r="O22" s="66" t="str">
        <f>IF(K22="","",((K22*VLOOKUP(F22,Tabelle1!$A$2:$I$496,8,0))/$W$4))</f>
        <v/>
      </c>
      <c r="P22" s="76" t="str">
        <f>IF(K22="","",VLOOKUP(F22,Tabelle1!$A$2:$L$496,12,0))</f>
        <v/>
      </c>
    </row>
    <row r="23" spans="1:22">
      <c r="A23" s="137"/>
      <c r="B23" s="138"/>
      <c r="C23" s="138"/>
      <c r="D23" s="57" t="str">
        <f>IF(K23="","",VLOOKUP(F23,Tabelle1!$A$2:$C$496,3,0))</f>
        <v/>
      </c>
      <c r="E23" s="57" t="str">
        <f>IF(K23="","",VLOOKUP(F23,Tabelle1!$A$2:$M$496,13,0))</f>
        <v/>
      </c>
      <c r="F23" s="119"/>
      <c r="G23" s="54"/>
      <c r="H23" s="139"/>
      <c r="I23" s="140"/>
      <c r="J23" s="129"/>
      <c r="K23" s="57" t="str">
        <f t="shared" si="7"/>
        <v/>
      </c>
      <c r="L23" s="57" t="str">
        <f>IF(K23="","",VLOOKUP(F23,Tabelle1!$A$2:$I$496,9,0))</f>
        <v/>
      </c>
      <c r="M23" s="57" t="str">
        <f>IF(K23="","",VLOOKUP(F23,Tabelle1!$A$2:$G$496,7,0))</f>
        <v/>
      </c>
      <c r="N23" s="66" t="str">
        <f t="shared" si="3"/>
        <v/>
      </c>
      <c r="O23" s="66" t="str">
        <f>IF(K23="","",((K23*VLOOKUP(F23,Tabelle1!$A$2:$I$496,8,0))/$W$4))</f>
        <v/>
      </c>
      <c r="P23" s="76" t="str">
        <f>IF(K23="","",VLOOKUP(F23,Tabelle1!$A$2:$L$496,12,0))</f>
        <v/>
      </c>
    </row>
    <row r="24" spans="1:22">
      <c r="A24" s="137"/>
      <c r="B24" s="138"/>
      <c r="C24" s="138"/>
      <c r="D24" s="57" t="str">
        <f>IF(K24="","",VLOOKUP(F24,Tabelle1!$A$2:$C$496,3,0))</f>
        <v/>
      </c>
      <c r="E24" s="57" t="str">
        <f>IF(K24="","",VLOOKUP(F24,Tabelle1!$A$2:$M$496,13,0))</f>
        <v/>
      </c>
      <c r="F24" s="135"/>
      <c r="G24" s="54"/>
      <c r="H24" s="139"/>
      <c r="I24" s="140"/>
      <c r="J24" s="129"/>
      <c r="K24" s="57" t="str">
        <f t="shared" si="7"/>
        <v/>
      </c>
      <c r="L24" s="57" t="str">
        <f>IF(K24="","",VLOOKUP(F24,Tabelle1!$A$2:$I$496,9,0))</f>
        <v/>
      </c>
      <c r="M24" s="57" t="str">
        <f>IF(K24="","",VLOOKUP(F24,Tabelle1!$A$2:$G$496,7,0))</f>
        <v/>
      </c>
      <c r="N24" s="66" t="str">
        <f t="shared" si="3"/>
        <v/>
      </c>
      <c r="O24" s="66" t="str">
        <f>IF(K24="","",((K24*VLOOKUP(F24,Tabelle1!$A$2:$I$496,8,0))/$W$4))</f>
        <v/>
      </c>
      <c r="P24" s="76" t="str">
        <f>IF(K24="","",VLOOKUP(F24,Tabelle1!$A$2:$L$496,12,0))</f>
        <v/>
      </c>
    </row>
    <row r="25" spans="1:22">
      <c r="A25" s="137"/>
      <c r="B25" s="138"/>
      <c r="C25" s="138"/>
      <c r="D25" s="57" t="str">
        <f>IF(K25="","",VLOOKUP(F25,Tabelle1!$A$2:$C$496,3,0))</f>
        <v/>
      </c>
      <c r="E25" s="57" t="str">
        <f>IF(K25="","",VLOOKUP(F25,Tabelle1!$A$2:$M$496,13,0))</f>
        <v/>
      </c>
      <c r="F25" s="135"/>
      <c r="G25" s="54"/>
      <c r="H25" s="139"/>
      <c r="I25" s="140"/>
      <c r="J25" s="129"/>
      <c r="K25" s="57" t="str">
        <f t="shared" si="7"/>
        <v/>
      </c>
      <c r="L25" s="57" t="str">
        <f>IF(K25="","",VLOOKUP(F25,Tabelle1!$A$2:$I$496,9,0))</f>
        <v/>
      </c>
      <c r="M25" s="57" t="str">
        <f>IF(K25="","",VLOOKUP(F25,Tabelle1!$A$2:$G$496,7,0))</f>
        <v/>
      </c>
      <c r="N25" s="66" t="str">
        <f t="shared" si="3"/>
        <v/>
      </c>
      <c r="O25" s="66" t="str">
        <f>IF(K25="","",((K25*VLOOKUP(F25,Tabelle1!$A$2:$I$496,8,0))/$W$4))</f>
        <v/>
      </c>
      <c r="P25" s="76" t="str">
        <f>IF(K25="","",VLOOKUP(F25,Tabelle1!$A$2:$L$496,12,0))</f>
        <v/>
      </c>
    </row>
    <row r="26" spans="1:22">
      <c r="A26" s="137"/>
      <c r="B26" s="138"/>
      <c r="C26" s="138"/>
      <c r="D26" s="57" t="str">
        <f>IF(K26="","",VLOOKUP(F26,Tabelle1!$A$2:$C$496,3,0))</f>
        <v/>
      </c>
      <c r="E26" s="57" t="str">
        <f>IF(K26="","",VLOOKUP(F26,Tabelle1!$A$2:$M$496,13,0))</f>
        <v/>
      </c>
      <c r="F26" s="119"/>
      <c r="G26" s="54"/>
      <c r="H26" s="139"/>
      <c r="I26" s="142"/>
      <c r="J26" s="129"/>
      <c r="K26" s="57" t="str">
        <f t="shared" si="7"/>
        <v/>
      </c>
      <c r="L26" s="57" t="str">
        <f>IF(K26="","",VLOOKUP(F26,Tabelle1!$A$2:$I$496,9,0))</f>
        <v/>
      </c>
      <c r="M26" s="57" t="str">
        <f>IF(K26="","",VLOOKUP(F26,Tabelle1!$A$2:$G$496,7,0))</f>
        <v/>
      </c>
      <c r="N26" s="66" t="str">
        <f t="shared" si="3"/>
        <v/>
      </c>
      <c r="O26" s="66" t="str">
        <f>IF(K26="","",((K26*VLOOKUP(F26,Tabelle1!$A$2:$I$496,8,0))/$W$4))</f>
        <v/>
      </c>
      <c r="P26" s="76" t="str">
        <f>IF(K26="","",VLOOKUP(F26,Tabelle1!$A$2:$L$496,12,0))</f>
        <v/>
      </c>
    </row>
    <row r="27" spans="1:22">
      <c r="A27" s="137"/>
      <c r="B27" s="138"/>
      <c r="C27" s="138"/>
      <c r="D27" s="57" t="str">
        <f>IF(K27="","",VLOOKUP(F27,Tabelle1!$A$2:$C$496,3,0))</f>
        <v/>
      </c>
      <c r="E27" s="57" t="str">
        <f>IF(K27="","",VLOOKUP(F27,Tabelle1!$A$2:$M$496,13,0))</f>
        <v/>
      </c>
      <c r="F27" s="119"/>
      <c r="G27" s="54"/>
      <c r="H27" s="139"/>
      <c r="I27" s="140"/>
      <c r="J27" s="129"/>
      <c r="K27" s="57" t="str">
        <f t="shared" si="7"/>
        <v/>
      </c>
      <c r="L27" s="57" t="str">
        <f>IF(K27="","",VLOOKUP(F27,Tabelle1!$A$2:$I$496,9,0))</f>
        <v/>
      </c>
      <c r="M27" s="57" t="str">
        <f>IF(K27="","",VLOOKUP(F27,Tabelle1!$A$2:$G$496,7,0))</f>
        <v/>
      </c>
      <c r="N27" s="66" t="str">
        <f t="shared" si="3"/>
        <v/>
      </c>
      <c r="O27" s="66" t="str">
        <f>IF(K27="","",((K27*VLOOKUP(F27,Tabelle1!$A$2:$I$496,8,0))/$W$4))</f>
        <v/>
      </c>
      <c r="P27" s="76" t="str">
        <f>IF(K27="","",VLOOKUP(F27,Tabelle1!$A$2:$L$496,12,0))</f>
        <v/>
      </c>
    </row>
    <row r="28" spans="1:22">
      <c r="A28" s="137"/>
      <c r="B28" s="138"/>
      <c r="C28" s="138"/>
      <c r="D28" s="57" t="str">
        <f>IF(K28="","",VLOOKUP(F28,Tabelle1!$A$2:$C$496,3,0))</f>
        <v/>
      </c>
      <c r="E28" s="57" t="str">
        <f>IF(K28="","",VLOOKUP(F28,Tabelle1!$A$2:$M$496,13,0))</f>
        <v/>
      </c>
      <c r="F28" s="36"/>
      <c r="G28" s="54"/>
      <c r="H28" s="139"/>
      <c r="I28" s="138"/>
      <c r="J28" s="129"/>
      <c r="K28" s="57" t="str">
        <f t="shared" si="7"/>
        <v/>
      </c>
      <c r="L28" s="57" t="str">
        <f>IF(K28="","",VLOOKUP(F28,Tabelle1!$A$2:$I$496,9,0))</f>
        <v/>
      </c>
      <c r="M28" s="57" t="str">
        <f>IF(K28="","",VLOOKUP(F28,Tabelle1!$A$2:$G$496,7,0))</f>
        <v/>
      </c>
      <c r="N28" s="66" t="str">
        <f t="shared" si="3"/>
        <v/>
      </c>
      <c r="O28" s="66" t="str">
        <f>IF(K28="","",((K28*VLOOKUP(F28,Tabelle1!$A$2:$I$496,8,0))/$W$4))</f>
        <v/>
      </c>
      <c r="P28" s="76" t="str">
        <f>IF(K28="","",VLOOKUP(F28,Tabelle1!$A$2:$L$496,12,0))</f>
        <v/>
      </c>
    </row>
    <row r="29" spans="1:22">
      <c r="A29" s="137"/>
      <c r="B29" s="138"/>
      <c r="C29" s="138"/>
      <c r="D29" s="57" t="str">
        <f>IF(K29="","",VLOOKUP(F29,Tabelle1!$A$2:$C$496,3,0))</f>
        <v/>
      </c>
      <c r="E29" s="57" t="str">
        <f>IF(K29="","",VLOOKUP(F29,Tabelle1!$A$2:$M$496,13,0))</f>
        <v/>
      </c>
      <c r="F29" s="119"/>
      <c r="G29" s="54"/>
      <c r="H29" s="139"/>
      <c r="I29" s="138"/>
      <c r="J29" s="129"/>
      <c r="K29" s="57" t="str">
        <f t="shared" si="7"/>
        <v/>
      </c>
      <c r="L29" s="57" t="str">
        <f>IF(K29="","",VLOOKUP(F29,Tabelle1!$A$2:$I$496,9,0))</f>
        <v/>
      </c>
      <c r="M29" s="57" t="str">
        <f>IF(K29="","",VLOOKUP(F29,Tabelle1!$A$2:$G$496,7,0))</f>
        <v/>
      </c>
      <c r="N29" s="66" t="str">
        <f t="shared" si="3"/>
        <v/>
      </c>
      <c r="O29" s="66" t="str">
        <f>IF(K29="","",((K29*VLOOKUP(F29,Tabelle1!$A$2:$I$496,8,0))/$W$4))</f>
        <v/>
      </c>
      <c r="P29" s="76" t="str">
        <f>IF(K29="","",VLOOKUP(F29,Tabelle1!$A$2:$L$496,12,0))</f>
        <v/>
      </c>
    </row>
    <row r="30" spans="1:22">
      <c r="A30" s="137"/>
      <c r="B30" s="138"/>
      <c r="C30" s="138"/>
      <c r="D30" s="57" t="str">
        <f>IF(K30="","",VLOOKUP(F30,Tabelle1!$A$2:$C$496,3,0))</f>
        <v/>
      </c>
      <c r="E30" s="57" t="str">
        <f>IF(K30="","",VLOOKUP(F30,Tabelle1!$A$2:$M$496,13,0))</f>
        <v/>
      </c>
      <c r="F30" s="119"/>
      <c r="G30" s="54"/>
      <c r="H30" s="139"/>
      <c r="I30" s="138"/>
      <c r="J30" s="129"/>
      <c r="K30" s="57" t="str">
        <f t="shared" si="7"/>
        <v/>
      </c>
      <c r="L30" s="57" t="str">
        <f>IF(K30="","",VLOOKUP(F30,Tabelle1!$A$2:$I$496,9,0))</f>
        <v/>
      </c>
      <c r="M30" s="57" t="str">
        <f>IF(K30="","",VLOOKUP(F30,Tabelle1!$A$2:$G$496,7,0))</f>
        <v/>
      </c>
      <c r="N30" s="66" t="str">
        <f t="shared" si="3"/>
        <v/>
      </c>
      <c r="O30" s="66" t="str">
        <f>IF(K30="","",((K30*VLOOKUP(F30,Tabelle1!$A$2:$I$496,8,0))/$W$4))</f>
        <v/>
      </c>
      <c r="P30" s="76" t="str">
        <f>IF(K30="","",VLOOKUP(F30,Tabelle1!$A$2:$L$496,12,0))</f>
        <v/>
      </c>
    </row>
    <row r="31" spans="1:22">
      <c r="A31" s="137"/>
      <c r="B31" s="138"/>
      <c r="C31" s="138"/>
      <c r="D31" s="57" t="str">
        <f>IF(K31="","",VLOOKUP(F31,Tabelle1!$A$2:$C$496,3,0))</f>
        <v/>
      </c>
      <c r="E31" s="57" t="str">
        <f>IF(K31="","",VLOOKUP(F31,Tabelle1!$A$2:$M$496,13,0))</f>
        <v/>
      </c>
      <c r="F31" s="119"/>
      <c r="G31" s="54"/>
      <c r="H31" s="139"/>
      <c r="I31" s="138"/>
      <c r="J31" s="129"/>
      <c r="K31" s="57" t="str">
        <f t="shared" si="7"/>
        <v/>
      </c>
      <c r="L31" s="57" t="str">
        <f>IF(K31="","",VLOOKUP(F31,Tabelle1!$A$2:$I$496,9,0))</f>
        <v/>
      </c>
      <c r="M31" s="57" t="str">
        <f>IF(K31="","",VLOOKUP(F31,Tabelle1!$A$2:$G$496,7,0))</f>
        <v/>
      </c>
      <c r="N31" s="66" t="str">
        <f t="shared" si="3"/>
        <v/>
      </c>
      <c r="O31" s="66" t="str">
        <f>IF(K31="","",((K31*VLOOKUP(F31,Tabelle1!$A$2:$I$496,8,0))/$W$4))</f>
        <v/>
      </c>
      <c r="P31" s="76" t="str">
        <f>IF(K31="","",VLOOKUP(F31,Tabelle1!$A$2:$L$496,12,0))</f>
        <v/>
      </c>
    </row>
    <row r="32" spans="1:22">
      <c r="A32" s="137"/>
      <c r="B32" s="138"/>
      <c r="C32" s="138"/>
      <c r="D32" s="57" t="str">
        <f>IF(K32="","",VLOOKUP(F32,Tabelle1!$A$2:$C$496,3,0))</f>
        <v/>
      </c>
      <c r="E32" s="57" t="str">
        <f>IF(K32="","",VLOOKUP(F32,Tabelle1!$A$2:$M$496,13,0))</f>
        <v/>
      </c>
      <c r="F32" s="105"/>
      <c r="G32" s="54"/>
      <c r="H32" s="139"/>
      <c r="I32" s="138"/>
      <c r="J32" s="129"/>
      <c r="K32" s="57" t="str">
        <f t="shared" si="7"/>
        <v/>
      </c>
      <c r="L32" s="57" t="str">
        <f>IF(K32="","",VLOOKUP(F32,Tabelle1!$A$2:$I$496,9,0))</f>
        <v/>
      </c>
      <c r="M32" s="57" t="str">
        <f>IF(K32="","",VLOOKUP(F32,Tabelle1!$A$2:$G$496,7,0))</f>
        <v/>
      </c>
      <c r="N32" s="66" t="str">
        <f t="shared" si="3"/>
        <v/>
      </c>
      <c r="O32" s="66" t="str">
        <f>IF(K32="","",((K32*VLOOKUP(F32,Tabelle1!$A$2:$I$496,8,0))/$W$4))</f>
        <v/>
      </c>
      <c r="P32" s="76" t="str">
        <f>IF(K32="","",VLOOKUP(F32,Tabelle1!$A$2:$L$496,12,0))</f>
        <v/>
      </c>
    </row>
    <row r="33" spans="1:25">
      <c r="A33" s="137"/>
      <c r="B33" s="138"/>
      <c r="C33" s="138"/>
      <c r="D33" s="57" t="str">
        <f>IF(K33="","",VLOOKUP(F33,Tabelle1!$A$2:$C$496,3,0))</f>
        <v/>
      </c>
      <c r="E33" s="57" t="str">
        <f>IF(K33="","",VLOOKUP(F33,Tabelle1!$A$2:$M$496,13,0))</f>
        <v/>
      </c>
      <c r="F33" s="36"/>
      <c r="G33" s="54"/>
      <c r="H33" s="139"/>
      <c r="I33" s="142"/>
      <c r="J33" s="129"/>
      <c r="K33" s="57" t="str">
        <f t="shared" si="7"/>
        <v/>
      </c>
      <c r="L33" s="57" t="str">
        <f>IF(K33="","",VLOOKUP(F33,Tabelle1!$A$2:$I$496,9,0))</f>
        <v/>
      </c>
      <c r="M33" s="57" t="str">
        <f>IF(K33="","",VLOOKUP(F33,Tabelle1!$A$2:$G$496,7,0))</f>
        <v/>
      </c>
      <c r="N33" s="66" t="str">
        <f t="shared" si="3"/>
        <v/>
      </c>
      <c r="O33" s="66" t="str">
        <f>IF(K33="","",((K33*VLOOKUP(F33,Tabelle1!$A$2:$I$496,8,0))/$W$4))</f>
        <v/>
      </c>
      <c r="P33" s="76" t="str">
        <f>IF(K33="","",VLOOKUP(F33,Tabelle1!$A$2:$L$496,12,0))</f>
        <v/>
      </c>
    </row>
    <row r="34" spans="1:25">
      <c r="A34" s="137"/>
      <c r="B34" s="138"/>
      <c r="C34" s="138"/>
      <c r="D34" s="57" t="str">
        <f>IF(K34="","",VLOOKUP(F34,Tabelle1!$A$2:$C$496,3,0))</f>
        <v/>
      </c>
      <c r="E34" s="57" t="str">
        <f>IF(K34="","",VLOOKUP(F34,Tabelle1!$A$2:$M$496,13,0))</f>
        <v/>
      </c>
      <c r="F34" s="119"/>
      <c r="G34" s="54"/>
      <c r="H34" s="139"/>
      <c r="I34" s="142"/>
      <c r="J34" s="129"/>
      <c r="K34" s="57" t="str">
        <f t="shared" si="7"/>
        <v/>
      </c>
      <c r="L34" s="57" t="str">
        <f>IF(K34="","",VLOOKUP(F34,Tabelle1!$A$2:$I$496,9,0))</f>
        <v/>
      </c>
      <c r="M34" s="57" t="str">
        <f>IF(K34="","",VLOOKUP(F34,Tabelle1!$A$2:$G$496,7,0))</f>
        <v/>
      </c>
      <c r="N34" s="66" t="str">
        <f t="shared" si="3"/>
        <v/>
      </c>
      <c r="O34" s="66" t="str">
        <f>IF(K34="","",((K34*VLOOKUP(F34,Tabelle1!$A$2:$I$496,8,0))/$W$4))</f>
        <v/>
      </c>
      <c r="P34" s="76" t="str">
        <f>IF(K34="","",VLOOKUP(F34,Tabelle1!$A$2:$L$496,12,0))</f>
        <v/>
      </c>
    </row>
    <row r="35" spans="1:25">
      <c r="A35" s="137"/>
      <c r="B35" s="138"/>
      <c r="C35" s="138"/>
      <c r="D35" s="57" t="str">
        <f>IF(K35="","",VLOOKUP(F35,Tabelle1!$A$2:$C$496,3,0))</f>
        <v/>
      </c>
      <c r="E35" s="57" t="str">
        <f>IF(K35="","",VLOOKUP(F35,Tabelle1!$A$2:$M$496,13,0))</f>
        <v/>
      </c>
      <c r="F35" s="36"/>
      <c r="G35" s="54"/>
      <c r="H35" s="139"/>
      <c r="I35" s="142"/>
      <c r="J35" s="129"/>
      <c r="K35" s="57" t="str">
        <f t="shared" si="7"/>
        <v/>
      </c>
      <c r="L35" s="57" t="str">
        <f>IF(K35="","",VLOOKUP(F35,Tabelle1!$A$2:$I$496,9,0))</f>
        <v/>
      </c>
      <c r="M35" s="57" t="str">
        <f>IF(K35="","",VLOOKUP(F35,Tabelle1!$A$2:$G$496,7,0))</f>
        <v/>
      </c>
      <c r="N35" s="66" t="str">
        <f t="shared" si="3"/>
        <v/>
      </c>
      <c r="O35" s="66" t="str">
        <f>IF(K35="","",((K35*VLOOKUP(F35,Tabelle1!$A$2:$I$496,8,0))/$W$4))</f>
        <v/>
      </c>
      <c r="P35" s="76" t="str">
        <f>IF(K35="","",VLOOKUP(F35,Tabelle1!$A$2:$L$496,12,0))</f>
        <v/>
      </c>
    </row>
    <row r="36" spans="1:25">
      <c r="A36" s="137"/>
      <c r="B36" s="138"/>
      <c r="C36" s="138"/>
      <c r="D36" s="57" t="str">
        <f>IF(K36="","",VLOOKUP(F36,Tabelle1!$A$2:$C$496,3,0))</f>
        <v/>
      </c>
      <c r="E36" s="57" t="str">
        <f>IF(K36="","",VLOOKUP(F36,Tabelle1!$A$2:$M$496,13,0))</f>
        <v/>
      </c>
      <c r="F36" s="119"/>
      <c r="G36" s="54"/>
      <c r="H36" s="139"/>
      <c r="I36" s="138"/>
      <c r="J36" s="129"/>
      <c r="K36" s="57" t="str">
        <f t="shared" si="7"/>
        <v/>
      </c>
      <c r="L36" s="57" t="str">
        <f>IF(K36="","",VLOOKUP(F36,Tabelle1!$A$2:$I$496,9,0))</f>
        <v/>
      </c>
      <c r="M36" s="57" t="str">
        <f>IF(K36="","",VLOOKUP(F36,Tabelle1!$A$2:$G$496,7,0))</f>
        <v/>
      </c>
      <c r="N36" s="66" t="str">
        <f t="shared" si="3"/>
        <v/>
      </c>
      <c r="O36" s="66" t="str">
        <f>IF(K36="","",((K36*VLOOKUP(F36,Tabelle1!$A$2:$I$496,8,0))/$W$4))</f>
        <v/>
      </c>
      <c r="P36" s="76" t="str">
        <f>IF(K36="","",VLOOKUP(F36,Tabelle1!$A$2:$L$496,12,0))</f>
        <v/>
      </c>
    </row>
    <row r="37" spans="1:25">
      <c r="A37" s="137"/>
      <c r="B37" s="138"/>
      <c r="C37" s="138"/>
      <c r="D37" s="57" t="str">
        <f>IF(K37="","",VLOOKUP(F37,Tabelle1!$A$2:$C$496,3,0))</f>
        <v/>
      </c>
      <c r="E37" s="57" t="str">
        <f>IF(K37="","",VLOOKUP(F37,Tabelle1!$A$2:$M$496,13,0))</f>
        <v/>
      </c>
      <c r="F37" s="119"/>
      <c r="G37" s="54"/>
      <c r="H37" s="139"/>
      <c r="I37" s="138"/>
      <c r="J37" s="129"/>
      <c r="K37" s="57" t="str">
        <f t="shared" si="7"/>
        <v/>
      </c>
      <c r="L37" s="57" t="str">
        <f>IF(K37="","",VLOOKUP(F37,Tabelle1!$A$2:$I$496,9,0))</f>
        <v/>
      </c>
      <c r="M37" s="57" t="str">
        <f>IF(K37="","",VLOOKUP(F37,Tabelle1!$A$2:$G$496,7,0))</f>
        <v/>
      </c>
      <c r="N37" s="66" t="str">
        <f t="shared" si="3"/>
        <v/>
      </c>
      <c r="O37" s="66" t="str">
        <f>IF(K37="","",((K37*VLOOKUP(F37,Tabelle1!$A$2:$I$496,8,0))/$W$4))</f>
        <v/>
      </c>
      <c r="P37" s="76" t="str">
        <f>IF(K37="","",VLOOKUP(F37,Tabelle1!$A$2:$L$496,12,0))</f>
        <v/>
      </c>
    </row>
    <row r="38" spans="1:25">
      <c r="A38" s="137"/>
      <c r="B38" s="138"/>
      <c r="C38" s="138"/>
      <c r="D38" s="57" t="str">
        <f>IF(K38="","",VLOOKUP(F38,Tabelle1!$A$2:$C$496,3,0))</f>
        <v/>
      </c>
      <c r="E38" s="57" t="str">
        <f>IF(K38="","",VLOOKUP(F38,Tabelle1!$A$2:$M$496,13,0))</f>
        <v/>
      </c>
      <c r="F38" s="119"/>
      <c r="G38" s="54"/>
      <c r="H38" s="139"/>
      <c r="I38" s="138"/>
      <c r="J38" s="129"/>
      <c r="K38" s="57" t="str">
        <f t="shared" si="7"/>
        <v/>
      </c>
      <c r="L38" s="57" t="str">
        <f>IF(K38="","",VLOOKUP(F38,Tabelle1!$A$2:$I$496,9,0))</f>
        <v/>
      </c>
      <c r="M38" s="57" t="str">
        <f>IF(K38="","",VLOOKUP(F38,Tabelle1!$A$2:$G$496,7,0))</f>
        <v/>
      </c>
      <c r="N38" s="66" t="str">
        <f t="shared" si="3"/>
        <v/>
      </c>
      <c r="O38" s="66" t="str">
        <f>IF(K38="","",((K38*VLOOKUP(F38,Tabelle1!$A$2:$I$496,8,0))/$W$4))</f>
        <v/>
      </c>
      <c r="P38" s="76" t="str">
        <f>IF(K38="","",VLOOKUP(F38,Tabelle1!$A$2:$L$496,12,0))</f>
        <v/>
      </c>
    </row>
    <row r="39" spans="1:25">
      <c r="A39" s="137"/>
      <c r="B39" s="138"/>
      <c r="C39" s="138"/>
      <c r="D39" s="57" t="str">
        <f>IF(K39="","",VLOOKUP(F39,Tabelle1!$A$2:$C$496,3,0))</f>
        <v/>
      </c>
      <c r="E39" s="57" t="str">
        <f>IF(K39="","",VLOOKUP(F39,Tabelle1!$A$2:$M$496,13,0))</f>
        <v/>
      </c>
      <c r="F39" s="36"/>
      <c r="G39" s="54"/>
      <c r="H39" s="139"/>
      <c r="I39" s="138"/>
      <c r="J39" s="129"/>
      <c r="K39" s="57" t="str">
        <f t="shared" si="7"/>
        <v/>
      </c>
      <c r="L39" s="57" t="str">
        <f>IF(K39="","",VLOOKUP(F39,Tabelle1!$A$2:$I$496,9,0))</f>
        <v/>
      </c>
      <c r="M39" s="57" t="str">
        <f>IF(K39="","",VLOOKUP(F39,Tabelle1!$A$2:$G$496,7,0))</f>
        <v/>
      </c>
      <c r="N39" s="66" t="str">
        <f t="shared" si="3"/>
        <v/>
      </c>
      <c r="O39" s="66" t="str">
        <f>IF(K39="","",((K39*VLOOKUP(F39,Tabelle1!$A$2:$I$496,8,0))/$W$4))</f>
        <v/>
      </c>
      <c r="P39" s="76" t="str">
        <f>IF(K39="","",VLOOKUP(F39,Tabelle1!$A$2:$L$496,12,0))</f>
        <v/>
      </c>
    </row>
    <row r="40" spans="1:25">
      <c r="A40" s="137"/>
      <c r="B40" s="138"/>
      <c r="C40" s="138"/>
      <c r="D40" s="57" t="str">
        <f>IF(K40="","",VLOOKUP(F40,Tabelle1!$A$2:$C$496,3,0))</f>
        <v/>
      </c>
      <c r="E40" s="57" t="str">
        <f>IF(K40="","",VLOOKUP(F40,Tabelle1!$A$2:$M$496,13,0))</f>
        <v/>
      </c>
      <c r="F40" s="119"/>
      <c r="G40" s="54"/>
      <c r="H40" s="139"/>
      <c r="I40" s="138"/>
      <c r="J40" s="129"/>
      <c r="K40" s="57" t="str">
        <f t="shared" si="7"/>
        <v/>
      </c>
      <c r="L40" s="57" t="str">
        <f>IF(K40="","",VLOOKUP(F40,Tabelle1!$A$2:$I$496,9,0))</f>
        <v/>
      </c>
      <c r="M40" s="57" t="str">
        <f>IF(K40="","",VLOOKUP(F40,Tabelle1!$A$2:$G$496,7,0))</f>
        <v/>
      </c>
      <c r="N40" s="66" t="str">
        <f t="shared" si="3"/>
        <v/>
      </c>
      <c r="O40" s="66" t="str">
        <f>IF(K40="","",((K40*VLOOKUP(F40,Tabelle1!$A$2:$I$496,8,0))/$W$4))</f>
        <v/>
      </c>
      <c r="P40" s="76" t="str">
        <f>IF(K40="","",VLOOKUP(F40,Tabelle1!$A$2:$L$496,12,0))</f>
        <v/>
      </c>
    </row>
    <row r="41" spans="1:25">
      <c r="A41" s="137"/>
      <c r="B41" s="138"/>
      <c r="C41" s="138"/>
      <c r="D41" s="57" t="str">
        <f>IF(K41="","",VLOOKUP(F41,Tabelle1!$A$2:$C$496,3,0))</f>
        <v/>
      </c>
      <c r="E41" s="57" t="str">
        <f>IF(K41="","",VLOOKUP(F41,Tabelle1!$A$2:$M$496,13,0))</f>
        <v/>
      </c>
      <c r="F41" s="119"/>
      <c r="G41" s="54"/>
      <c r="H41" s="139"/>
      <c r="I41" s="138"/>
      <c r="J41" s="129"/>
      <c r="K41" s="57" t="str">
        <f t="shared" si="7"/>
        <v/>
      </c>
      <c r="L41" s="57" t="str">
        <f>IF(K41="","",VLOOKUP(F41,Tabelle1!$A$2:$I$496,9,0))</f>
        <v/>
      </c>
      <c r="M41" s="57" t="str">
        <f>IF(K41="","",VLOOKUP(F41,Tabelle1!$A$2:$G$496,7,0))</f>
        <v/>
      </c>
      <c r="N41" s="66" t="str">
        <f t="shared" si="3"/>
        <v/>
      </c>
      <c r="O41" s="66" t="str">
        <f>IF(K41="","",((K41*VLOOKUP(F41,Tabelle1!$A$2:$I$496,8,0))/$W$4))</f>
        <v/>
      </c>
      <c r="P41" s="76" t="str">
        <f>IF(K41="","",VLOOKUP(F41,Tabelle1!$A$2:$L$496,12,0))</f>
        <v/>
      </c>
    </row>
    <row r="42" spans="1:25" ht="18.5">
      <c r="A42" s="137"/>
      <c r="B42" s="138"/>
      <c r="C42" s="138"/>
      <c r="D42" s="57" t="str">
        <f>IF(K42="","",VLOOKUP(F42,Tabelle1!$A$2:$C$496,3,0))</f>
        <v/>
      </c>
      <c r="E42" s="57" t="str">
        <f>IF(K42="","",VLOOKUP(F42,Tabelle1!$A$2:$M$496,13,0))</f>
        <v/>
      </c>
      <c r="F42" s="105"/>
      <c r="G42" s="54"/>
      <c r="H42" s="139"/>
      <c r="I42" s="138"/>
      <c r="J42" s="129"/>
      <c r="K42" s="57" t="str">
        <f t="shared" si="7"/>
        <v/>
      </c>
      <c r="L42" s="57" t="str">
        <f>IF(K42="","",VLOOKUP(F42,Tabelle1!$A$2:$I$496,9,0))</f>
        <v/>
      </c>
      <c r="M42" s="57" t="str">
        <f>IF(K42="","",VLOOKUP(F42,Tabelle1!$A$2:$G$496,7,0))</f>
        <v/>
      </c>
      <c r="N42" s="66" t="str">
        <f t="shared" si="3"/>
        <v/>
      </c>
      <c r="O42" s="66" t="str">
        <f>IF(K42="","",((K42*VLOOKUP(F42,Tabelle1!$A$2:$I$496,8,0))/$W$4))</f>
        <v/>
      </c>
      <c r="P42" s="76" t="str">
        <f>IF(K42="","",VLOOKUP(F42,Tabelle1!$A$2:$L$496,12,0))</f>
        <v/>
      </c>
      <c r="R42" s="150" t="s">
        <v>393</v>
      </c>
      <c r="S42" s="150"/>
      <c r="T42" s="8"/>
      <c r="Y42" s="4"/>
    </row>
    <row r="43" spans="1:25" ht="18.5">
      <c r="A43" s="137"/>
      <c r="B43" s="138"/>
      <c r="C43" s="138"/>
      <c r="D43" s="57" t="str">
        <f>IF(K43="","",VLOOKUP(F43,Tabelle1!$A$2:$C$496,3,0))</f>
        <v/>
      </c>
      <c r="E43" s="57" t="str">
        <f>IF(K43="","",VLOOKUP(F43,Tabelle1!$A$2:$M$496,13,0))</f>
        <v/>
      </c>
      <c r="F43" s="119"/>
      <c r="G43" s="54"/>
      <c r="H43" s="139"/>
      <c r="I43" s="138"/>
      <c r="J43" s="129"/>
      <c r="K43" s="57" t="str">
        <f t="shared" si="7"/>
        <v/>
      </c>
      <c r="L43" s="57" t="str">
        <f>IF(K43="","",VLOOKUP(F43,Tabelle1!$A$2:$I$496,9,0))</f>
        <v/>
      </c>
      <c r="M43" s="57" t="str">
        <f>IF(K43="","",VLOOKUP(F43,Tabelle1!$A$2:$G$496,7,0))</f>
        <v/>
      </c>
      <c r="N43" s="66" t="str">
        <f t="shared" si="3"/>
        <v/>
      </c>
      <c r="O43" s="66" t="str">
        <f>IF(K43="","",((K43*VLOOKUP(F43,Tabelle1!$A$2:$I$496,8,0))/$W$4))</f>
        <v/>
      </c>
      <c r="P43" s="76" t="str">
        <f>IF(K43="","",VLOOKUP(F43,Tabelle1!$A$2:$L$496,12,0))</f>
        <v/>
      </c>
      <c r="R43" s="6"/>
      <c r="S43" s="5"/>
      <c r="T43" s="9"/>
      <c r="Y43" s="4"/>
    </row>
    <row r="44" spans="1:25">
      <c r="A44" s="137"/>
      <c r="B44" s="138"/>
      <c r="C44" s="138"/>
      <c r="D44" s="57" t="str">
        <f>IF(K44="","",VLOOKUP(F44,Tabelle1!$A$2:$C$496,3,0))</f>
        <v/>
      </c>
      <c r="E44" s="57" t="str">
        <f>IF(K44="","",VLOOKUP(F44,Tabelle1!$A$2:$M$496,13,0))</f>
        <v/>
      </c>
      <c r="F44" s="105"/>
      <c r="G44" s="54"/>
      <c r="H44" s="139"/>
      <c r="I44" s="138"/>
      <c r="J44" s="129"/>
      <c r="K44" s="57" t="str">
        <f t="shared" si="7"/>
        <v/>
      </c>
      <c r="L44" s="57" t="str">
        <f>IF(K44="","",VLOOKUP(F44,Tabelle1!$A$2:$I$496,9,0))</f>
        <v/>
      </c>
      <c r="M44" s="57" t="str">
        <f>IF(K44="","",VLOOKUP(F44,Tabelle1!$A$2:$G$496,7,0))</f>
        <v/>
      </c>
      <c r="N44" s="66" t="str">
        <f t="shared" si="3"/>
        <v/>
      </c>
      <c r="O44" s="66" t="str">
        <f>IF(K44="","",((K44*VLOOKUP(F44,Tabelle1!$A$2:$I$496,8,0))/$W$4))</f>
        <v/>
      </c>
      <c r="P44" s="76" t="str">
        <f>IF(K44="","",VLOOKUP(F44,Tabelle1!$A$2:$L$496,12,0))</f>
        <v/>
      </c>
      <c r="R44" s="3" t="s">
        <v>357</v>
      </c>
      <c r="S44" s="12" t="s">
        <v>358</v>
      </c>
      <c r="T44" s="7"/>
      <c r="U44" s="48" t="s">
        <v>8</v>
      </c>
    </row>
    <row r="45" spans="1:25">
      <c r="A45" s="137"/>
      <c r="B45" s="138"/>
      <c r="C45" s="138"/>
      <c r="D45" s="57" t="str">
        <f>IF(K45="","",VLOOKUP(F45,Tabelle1!$A$2:$C$496,3,0))</f>
        <v/>
      </c>
      <c r="E45" s="57" t="str">
        <f>IF(K45="","",VLOOKUP(F45,Tabelle1!$A$2:$M$496,13,0))</f>
        <v/>
      </c>
      <c r="F45" s="119"/>
      <c r="G45" s="54"/>
      <c r="H45" s="139"/>
      <c r="I45" s="138"/>
      <c r="J45" s="129"/>
      <c r="K45" s="57" t="str">
        <f t="shared" si="7"/>
        <v/>
      </c>
      <c r="L45" s="57" t="str">
        <f>IF(K45="","",VLOOKUP(F45,Tabelle1!$A$2:$I$496,9,0))</f>
        <v/>
      </c>
      <c r="M45" s="57" t="str">
        <f>IF(K45="","",VLOOKUP(F45,Tabelle1!$A$2:$G$496,7,0))</f>
        <v/>
      </c>
      <c r="N45" s="66" t="str">
        <f t="shared" si="3"/>
        <v/>
      </c>
      <c r="O45" s="66" t="str">
        <f>IF(K45="","",((K45*VLOOKUP(F45,Tabelle1!$A$2:$I$496,8,0))/$W$4))</f>
        <v/>
      </c>
      <c r="P45" s="76" t="str">
        <f>IF(K45="","",VLOOKUP(F45,Tabelle1!$A$2:$L$496,12,0))</f>
        <v/>
      </c>
      <c r="R45" s="10"/>
      <c r="S45" s="146" t="s">
        <v>353</v>
      </c>
      <c r="T45" s="147"/>
      <c r="U45" s="2">
        <f>(S47*T47)+(S48*T48)+(S49*T49)+(S50*T50)+(S51*T51)+(S52*T52)</f>
        <v>0</v>
      </c>
    </row>
    <row r="46" spans="1:25">
      <c r="A46" s="137"/>
      <c r="B46" s="138"/>
      <c r="C46" s="138"/>
      <c r="D46" s="57" t="str">
        <f>IF(K46="","",VLOOKUP(F46,Tabelle1!$A$2:$C$496,3,0))</f>
        <v/>
      </c>
      <c r="E46" s="57" t="str">
        <f>IF(K46="","",VLOOKUP(F46,Tabelle1!$A$2:$M$496,13,0))</f>
        <v/>
      </c>
      <c r="F46" s="36"/>
      <c r="G46" s="54"/>
      <c r="H46" s="139"/>
      <c r="I46" s="138"/>
      <c r="J46" s="129"/>
      <c r="K46" s="57" t="str">
        <f t="shared" si="7"/>
        <v/>
      </c>
      <c r="L46" s="57" t="str">
        <f>IF(K46="","",VLOOKUP(F46,Tabelle1!$A$2:$I$496,9,0))</f>
        <v/>
      </c>
      <c r="M46" s="57" t="str">
        <f>IF(K46="","",VLOOKUP(F46,Tabelle1!$A$2:$G$496,7,0))</f>
        <v/>
      </c>
      <c r="N46" s="66" t="str">
        <f t="shared" si="3"/>
        <v/>
      </c>
      <c r="O46" s="66" t="str">
        <f>IF(K46="","",((K46*VLOOKUP(F46,Tabelle1!$A$2:$I$496,8,0))/$W$4))</f>
        <v/>
      </c>
      <c r="P46" s="76" t="str">
        <f>IF(K46="","",VLOOKUP(F46,Tabelle1!$A$2:$L$496,12,0))</f>
        <v/>
      </c>
      <c r="R46" s="3" t="s">
        <v>356</v>
      </c>
      <c r="S46" s="3" t="s">
        <v>354</v>
      </c>
      <c r="T46" s="3" t="s">
        <v>355</v>
      </c>
      <c r="Y46" s="4"/>
    </row>
    <row r="47" spans="1:25">
      <c r="A47" s="137"/>
      <c r="B47" s="138"/>
      <c r="C47" s="138"/>
      <c r="D47" s="57" t="str">
        <f>IF(K47="","",VLOOKUP(F47,Tabelle1!$A$2:$C$496,3,0))</f>
        <v/>
      </c>
      <c r="E47" s="57" t="str">
        <f>IF(K47="","",VLOOKUP(F47,Tabelle1!$A$2:$M$496,13,0))</f>
        <v/>
      </c>
      <c r="F47" s="119"/>
      <c r="G47" s="54"/>
      <c r="H47" s="139"/>
      <c r="I47" s="138"/>
      <c r="J47" s="129"/>
      <c r="K47" s="57" t="str">
        <f t="shared" si="7"/>
        <v/>
      </c>
      <c r="L47" s="57" t="str">
        <f>IF(K47="","",VLOOKUP(F47,Tabelle1!$A$2:$I$496,9,0))</f>
        <v/>
      </c>
      <c r="M47" s="57" t="str">
        <f>IF(K47="","",VLOOKUP(F47,Tabelle1!$A$2:$G$496,7,0))</f>
        <v/>
      </c>
      <c r="N47" s="66" t="str">
        <f t="shared" si="3"/>
        <v/>
      </c>
      <c r="O47" s="66" t="str">
        <f>IF(K47="","",((K47*VLOOKUP(F47,Tabelle1!$A$2:$I$496,8,0))/$W$4))</f>
        <v/>
      </c>
      <c r="P47" s="76" t="str">
        <f>IF(K47="","",VLOOKUP(F47,Tabelle1!$A$2:$L$496,12,0))</f>
        <v/>
      </c>
      <c r="R47" s="1" t="s">
        <v>348</v>
      </c>
      <c r="S47" s="50">
        <f>'Karta informacyjna'!D8</f>
        <v>0</v>
      </c>
      <c r="T47" s="50">
        <v>425</v>
      </c>
      <c r="Y47" s="4"/>
    </row>
    <row r="48" spans="1:25">
      <c r="A48" s="137"/>
      <c r="B48" s="138"/>
      <c r="C48" s="138"/>
      <c r="D48" s="57" t="str">
        <f>IF(K48="","",VLOOKUP(F48,Tabelle1!$A$2:$C$496,3,0))</f>
        <v/>
      </c>
      <c r="E48" s="57" t="str">
        <f>IF(K48="","",VLOOKUP(F48,Tabelle1!$A$2:$M$496,13,0))</f>
        <v/>
      </c>
      <c r="F48" s="119"/>
      <c r="G48" s="54"/>
      <c r="H48" s="139"/>
      <c r="I48" s="138"/>
      <c r="J48" s="129"/>
      <c r="K48" s="57" t="str">
        <f t="shared" si="7"/>
        <v/>
      </c>
      <c r="L48" s="57" t="str">
        <f>IF(K48="","",VLOOKUP(F48,Tabelle1!$A$2:$I$496,9,0))</f>
        <v/>
      </c>
      <c r="M48" s="57" t="str">
        <f>IF(K48="","",VLOOKUP(F48,Tabelle1!$A$2:$G$496,7,0))</f>
        <v/>
      </c>
      <c r="N48" s="66" t="str">
        <f t="shared" si="3"/>
        <v/>
      </c>
      <c r="O48" s="66" t="str">
        <f>IF(K48="","",((K48*VLOOKUP(F48,Tabelle1!$A$2:$I$496,8,0))/$W$4))</f>
        <v/>
      </c>
      <c r="P48" s="76" t="str">
        <f>IF(K48="","",VLOOKUP(F48,Tabelle1!$A$2:$L$496,12,0))</f>
        <v/>
      </c>
      <c r="R48" s="3" t="s">
        <v>349</v>
      </c>
      <c r="S48" s="50"/>
      <c r="T48" s="50"/>
      <c r="Y48" s="4"/>
    </row>
    <row r="49" spans="1:25">
      <c r="A49" s="67"/>
      <c r="B49" s="55"/>
      <c r="C49" s="55"/>
      <c r="D49" s="57" t="str">
        <f>IF(K49="","",VLOOKUP(F49,Tabelle1!$A$2:$C$496,3,0))</f>
        <v/>
      </c>
      <c r="E49" s="57" t="str">
        <f>IF(K49="","",VLOOKUP(F49,Tabelle1!$A$2:$M$496,13,0))</f>
        <v/>
      </c>
      <c r="F49" s="56"/>
      <c r="G49" s="57"/>
      <c r="H49" s="57"/>
      <c r="I49" s="57"/>
      <c r="J49" s="57"/>
      <c r="K49" s="57" t="str">
        <f t="shared" si="7"/>
        <v/>
      </c>
      <c r="L49" s="57" t="str">
        <f>IF(K49="","",VLOOKUP(F49,Tabelle1!$A$2:$I$496,9,0))</f>
        <v/>
      </c>
      <c r="M49" s="57" t="str">
        <f>IF(K49="","",VLOOKUP(F49,Tabelle1!$A$2:$G$496,7,0))</f>
        <v/>
      </c>
      <c r="N49" s="66" t="str">
        <f t="shared" si="3"/>
        <v/>
      </c>
      <c r="O49" s="66" t="str">
        <f>IF(K49="","",((K49*VLOOKUP(F49,Tabelle1!$A$2:$I$496,8,0))/$W$4))</f>
        <v/>
      </c>
      <c r="P49" s="76" t="str">
        <f>IF(K49="","",VLOOKUP(F49,Tabelle1!$A$2:$L$496,12,0))</f>
        <v/>
      </c>
      <c r="R49" s="3" t="s">
        <v>347</v>
      </c>
      <c r="S49" s="50">
        <f>'Karta informacyjna'!D10</f>
        <v>0</v>
      </c>
      <c r="T49" s="50">
        <v>140</v>
      </c>
      <c r="Y49" s="4"/>
    </row>
    <row r="50" spans="1:25">
      <c r="A50" s="67"/>
      <c r="B50" s="55"/>
      <c r="C50" s="55"/>
      <c r="D50" s="57" t="str">
        <f>IF(K50="","",VLOOKUP(F50,Tabelle1!$A$2:$C$496,3,0))</f>
        <v/>
      </c>
      <c r="E50" s="57" t="str">
        <f>IF(K50="","",VLOOKUP(F50,Tabelle1!$A$2:$M$496,13,0))</f>
        <v/>
      </c>
      <c r="F50" s="56"/>
      <c r="G50" s="57"/>
      <c r="H50" s="57"/>
      <c r="I50" s="57"/>
      <c r="J50" s="57"/>
      <c r="K50" s="57" t="str">
        <f t="shared" si="7"/>
        <v/>
      </c>
      <c r="L50" s="57" t="str">
        <f>IF(K50="","",VLOOKUP(F50,Tabelle1!$A$2:$I$496,9,0))</f>
        <v/>
      </c>
      <c r="M50" s="57" t="str">
        <f>IF(K50="","",VLOOKUP(F50,Tabelle1!$A$2:$G$496,7,0))</f>
        <v/>
      </c>
      <c r="N50" s="66" t="str">
        <f t="shared" si="3"/>
        <v/>
      </c>
      <c r="O50" s="66" t="str">
        <f>IF(K50="","",((K50*VLOOKUP(F50,Tabelle1!$A$2:$I$496,8,0))/$W$4))</f>
        <v/>
      </c>
      <c r="P50" s="76" t="str">
        <f>IF(K50="","",VLOOKUP(F50,Tabelle1!$A$2:$L$496,12,0))</f>
        <v/>
      </c>
      <c r="R50" s="3" t="s">
        <v>350</v>
      </c>
      <c r="S50" s="50">
        <f>'Karta informacyjna'!D9</f>
        <v>0</v>
      </c>
      <c r="T50" s="50">
        <v>200</v>
      </c>
      <c r="Y50" s="4"/>
    </row>
    <row r="51" spans="1:25">
      <c r="A51" s="67"/>
      <c r="B51" s="55"/>
      <c r="C51" s="55"/>
      <c r="D51" s="57" t="str">
        <f>IF(K51="","",VLOOKUP(F51,Tabelle1!$A$2:$C$496,3,0))</f>
        <v/>
      </c>
      <c r="E51" s="57" t="str">
        <f>IF(K51="","",VLOOKUP(F51,Tabelle1!$A$2:$M$496,13,0))</f>
        <v/>
      </c>
      <c r="F51" s="56"/>
      <c r="G51" s="57"/>
      <c r="H51" s="57"/>
      <c r="I51" s="57"/>
      <c r="J51" s="57"/>
      <c r="K51" s="57" t="str">
        <f t="shared" si="7"/>
        <v/>
      </c>
      <c r="L51" s="57" t="str">
        <f>IF(K51="","",VLOOKUP(F51,Tabelle1!$A$2:$I$496,9,0))</f>
        <v/>
      </c>
      <c r="M51" s="57" t="str">
        <f>IF(K51="","",VLOOKUP(F51,Tabelle1!$A$2:$G$496,7,0))</f>
        <v/>
      </c>
      <c r="N51" s="66" t="str">
        <f t="shared" si="3"/>
        <v/>
      </c>
      <c r="O51" s="66" t="str">
        <f>IF(K51="","",((K51*VLOOKUP(F51,Tabelle1!$A$2:$I$496,8,0))/$W$4))</f>
        <v/>
      </c>
      <c r="P51" s="76" t="str">
        <f>IF(K51="","",VLOOKUP(F51,Tabelle1!$A$2:$L$496,12,0))</f>
        <v/>
      </c>
      <c r="R51" s="3" t="s">
        <v>351</v>
      </c>
      <c r="S51" s="50"/>
      <c r="T51" s="50"/>
      <c r="Y51" s="4"/>
    </row>
    <row r="52" spans="1:25">
      <c r="A52" s="67"/>
      <c r="B52" s="55"/>
      <c r="C52" s="55"/>
      <c r="D52" s="57" t="str">
        <f>IF(K52="","",VLOOKUP(F52,Tabelle1!$A$2:$C$496,3,0))</f>
        <v/>
      </c>
      <c r="E52" s="57" t="str">
        <f>IF(K52="","",VLOOKUP(F52,Tabelle1!$A$2:$M$496,13,0))</f>
        <v/>
      </c>
      <c r="F52" s="56"/>
      <c r="G52" s="57"/>
      <c r="H52" s="57"/>
      <c r="I52" s="57"/>
      <c r="J52" s="57"/>
      <c r="K52" s="57" t="str">
        <f t="shared" si="7"/>
        <v/>
      </c>
      <c r="L52" s="57" t="str">
        <f>IF(K52="","",VLOOKUP(F52,Tabelle1!$A$2:$I$496,9,0))</f>
        <v/>
      </c>
      <c r="M52" s="57" t="str">
        <f>IF(K52="","",VLOOKUP(F52,Tabelle1!$A$2:$G$496,7,0))</f>
        <v/>
      </c>
      <c r="N52" s="66" t="str">
        <f t="shared" si="3"/>
        <v/>
      </c>
      <c r="O52" s="66" t="str">
        <f>IF(K52="","",((K52*VLOOKUP(F52,Tabelle1!$A$2:$I$496,8,0))/$W$4))</f>
        <v/>
      </c>
      <c r="P52" s="76" t="str">
        <f>IF(K52="","",VLOOKUP(F52,Tabelle1!$A$2:$L$496,12,0))</f>
        <v/>
      </c>
      <c r="R52" s="3" t="s">
        <v>352</v>
      </c>
      <c r="S52" s="50">
        <f>'Karta informacyjna'!D11</f>
        <v>0</v>
      </c>
      <c r="T52" s="50">
        <v>425</v>
      </c>
      <c r="Y52" s="4"/>
    </row>
    <row r="53" spans="1:25">
      <c r="A53" s="67"/>
      <c r="B53" s="55"/>
      <c r="C53" s="55"/>
      <c r="D53" s="57" t="str">
        <f>IF(K53="","",VLOOKUP(F53,Tabelle1!$A$2:$C$496,3,0))</f>
        <v/>
      </c>
      <c r="E53" s="57" t="str">
        <f>IF(K53="","",VLOOKUP(F53,Tabelle1!$A$2:$M$496,13,0))</f>
        <v/>
      </c>
      <c r="F53" s="56"/>
      <c r="G53" s="57"/>
      <c r="H53" s="57"/>
      <c r="I53" s="57"/>
      <c r="J53" s="57"/>
      <c r="K53" s="57" t="str">
        <f t="shared" si="7"/>
        <v/>
      </c>
      <c r="L53" s="57" t="str">
        <f>IF(K53="","",VLOOKUP(F53,Tabelle1!$A$2:$I$496,9,0))</f>
        <v/>
      </c>
      <c r="M53" s="57" t="str">
        <f>IF(K53="","",VLOOKUP(F53,Tabelle1!$A$2:$G$496,7,0))</f>
        <v/>
      </c>
      <c r="N53" s="66" t="str">
        <f t="shared" si="3"/>
        <v/>
      </c>
      <c r="O53" s="66" t="str">
        <f>IF(K53="","",((K53*VLOOKUP(F53,Tabelle1!$A$2:$I$496,8,0))/$W$4))</f>
        <v/>
      </c>
      <c r="P53" s="76" t="str">
        <f>IF(K53="","",VLOOKUP(F53,Tabelle1!$A$2:$L$496,12,0))</f>
        <v/>
      </c>
    </row>
    <row r="54" spans="1:25">
      <c r="A54" s="67"/>
      <c r="B54" s="55"/>
      <c r="C54" s="55"/>
      <c r="D54" s="57" t="str">
        <f>IF(K54="","",VLOOKUP(F54,Tabelle1!$A$2:$C$496,3,0))</f>
        <v/>
      </c>
      <c r="E54" s="57" t="str">
        <f>IF(K54="","",VLOOKUP(F54,Tabelle1!$A$2:$M$496,13,0))</f>
        <v/>
      </c>
      <c r="F54" s="56"/>
      <c r="G54" s="57"/>
      <c r="H54" s="57"/>
      <c r="I54" s="57"/>
      <c r="J54" s="57"/>
      <c r="K54" s="57" t="str">
        <f t="shared" si="7"/>
        <v/>
      </c>
      <c r="L54" s="57" t="str">
        <f>IF(K54="","",VLOOKUP(F54,Tabelle1!$A$2:$I$496,9,0))</f>
        <v/>
      </c>
      <c r="M54" s="57" t="str">
        <f>IF(K54="","",VLOOKUP(F54,Tabelle1!$A$2:$G$496,7,0))</f>
        <v/>
      </c>
      <c r="N54" s="66" t="str">
        <f t="shared" si="3"/>
        <v/>
      </c>
      <c r="O54" s="66" t="str">
        <f>IF(K54="","",((K54*VLOOKUP(F54,Tabelle1!$A$2:$I$496,8,0))/$W$4))</f>
        <v/>
      </c>
      <c r="P54" s="76" t="str">
        <f>IF(K54="","",VLOOKUP(F54,Tabelle1!$A$2:$L$496,12,0))</f>
        <v/>
      </c>
    </row>
    <row r="55" spans="1:25">
      <c r="A55" s="67"/>
      <c r="B55" s="55"/>
      <c r="C55" s="55"/>
      <c r="D55" s="57" t="str">
        <f>IF(K55="","",VLOOKUP(F55,Tabelle1!$A$2:$C$496,3,0))</f>
        <v/>
      </c>
      <c r="E55" s="57" t="str">
        <f>IF(K55="","",VLOOKUP(F55,Tabelle1!$A$2:$M$496,13,0))</f>
        <v/>
      </c>
      <c r="F55" s="56"/>
      <c r="G55" s="57"/>
      <c r="H55" s="57"/>
      <c r="I55" s="57"/>
      <c r="J55" s="57"/>
      <c r="K55" s="57" t="str">
        <f t="shared" si="7"/>
        <v/>
      </c>
      <c r="L55" s="57" t="str">
        <f>IF(K55="","",VLOOKUP(F55,Tabelle1!$A$2:$I$496,9,0))</f>
        <v/>
      </c>
      <c r="M55" s="57" t="str">
        <f>IF(K55="","",VLOOKUP(F55,Tabelle1!$A$2:$G$496,7,0))</f>
        <v/>
      </c>
      <c r="N55" s="66" t="str">
        <f t="shared" si="3"/>
        <v/>
      </c>
      <c r="O55" s="66" t="str">
        <f>IF(K55="","",((K55*VLOOKUP(F55,Tabelle1!$A$2:$I$496,8,0))/$W$4))</f>
        <v/>
      </c>
      <c r="P55" s="76" t="str">
        <f>IF(K55="","",VLOOKUP(F55,Tabelle1!$A$2:$L$496,12,0))</f>
        <v/>
      </c>
    </row>
    <row r="56" spans="1:25">
      <c r="A56" s="67"/>
      <c r="B56" s="55"/>
      <c r="C56" s="55"/>
      <c r="D56" s="57" t="str">
        <f>IF(K56="","",VLOOKUP(F56,Tabelle1!$A$2:$C$496,3,0))</f>
        <v/>
      </c>
      <c r="E56" s="57" t="str">
        <f>IF(K56="","",VLOOKUP(F56,Tabelle1!$A$2:$M$496,13,0))</f>
        <v/>
      </c>
      <c r="F56" s="56"/>
      <c r="G56" s="57"/>
      <c r="H56" s="57"/>
      <c r="I56" s="57"/>
      <c r="J56" s="57"/>
      <c r="K56" s="57" t="str">
        <f t="shared" si="7"/>
        <v/>
      </c>
      <c r="L56" s="57" t="str">
        <f>IF(K56="","",VLOOKUP(F56,Tabelle1!$A$2:$I$496,9,0))</f>
        <v/>
      </c>
      <c r="M56" s="57" t="str">
        <f>IF(K56="","",VLOOKUP(F56,Tabelle1!$A$2:$G$496,7,0))</f>
        <v/>
      </c>
      <c r="N56" s="66" t="str">
        <f t="shared" si="3"/>
        <v/>
      </c>
      <c r="O56" s="66" t="str">
        <f>IF(K56="","",((K56*VLOOKUP(F56,Tabelle1!$A$2:$I$496,8,0))/$W$4))</f>
        <v/>
      </c>
      <c r="P56" s="76" t="str">
        <f>IF(K56="","",VLOOKUP(F56,Tabelle1!$A$2:$L$496,12,0))</f>
        <v/>
      </c>
    </row>
    <row r="57" spans="1:25">
      <c r="A57" s="67"/>
      <c r="B57" s="55"/>
      <c r="C57" s="55"/>
      <c r="D57" s="57" t="str">
        <f>IF(K57="","",VLOOKUP(F57,Tabelle1!$A$2:$C$496,3,0))</f>
        <v/>
      </c>
      <c r="E57" s="57" t="str">
        <f>IF(K57="","",VLOOKUP(F57,Tabelle1!$A$2:$M$496,13,0))</f>
        <v/>
      </c>
      <c r="F57" s="56"/>
      <c r="G57" s="57"/>
      <c r="H57" s="57"/>
      <c r="I57" s="57"/>
      <c r="J57" s="57"/>
      <c r="K57" s="57" t="str">
        <f t="shared" si="7"/>
        <v/>
      </c>
      <c r="L57" s="57" t="str">
        <f>IF(K57="","",VLOOKUP(F57,Tabelle1!$A$2:$I$496,9,0))</f>
        <v/>
      </c>
      <c r="M57" s="57" t="str">
        <f>IF(K57="","",VLOOKUP(F57,Tabelle1!$A$2:$G$496,7,0))</f>
        <v/>
      </c>
      <c r="N57" s="66" t="str">
        <f t="shared" si="3"/>
        <v/>
      </c>
      <c r="O57" s="66" t="str">
        <f>IF(K57="","",((K57*VLOOKUP(F57,Tabelle1!$A$2:$I$496,8,0))/$W$4))</f>
        <v/>
      </c>
      <c r="P57" s="76" t="str">
        <f>IF(K57="","",VLOOKUP(F57,Tabelle1!$A$2:$L$496,12,0))</f>
        <v/>
      </c>
    </row>
    <row r="58" spans="1:25">
      <c r="A58" s="67"/>
      <c r="B58" s="55"/>
      <c r="C58" s="55"/>
      <c r="D58" s="57" t="str">
        <f>IF(K58="","",VLOOKUP(F58,Tabelle1!$A$2:$C$496,3,0))</f>
        <v/>
      </c>
      <c r="E58" s="57" t="str">
        <f>IF(K58="","",VLOOKUP(F58,Tabelle1!$A$2:$M$496,13,0))</f>
        <v/>
      </c>
      <c r="F58" s="56"/>
      <c r="G58" s="57"/>
      <c r="H58" s="57"/>
      <c r="I58" s="57"/>
      <c r="J58" s="57"/>
      <c r="K58" s="57" t="str">
        <f t="shared" si="7"/>
        <v/>
      </c>
      <c r="L58" s="57" t="str">
        <f>IF(K58="","",VLOOKUP(F58,Tabelle1!$A$2:$I$496,9,0))</f>
        <v/>
      </c>
      <c r="M58" s="57" t="str">
        <f>IF(K58="","",VLOOKUP(F58,Tabelle1!$A$2:$G$496,7,0))</f>
        <v/>
      </c>
      <c r="N58" s="66" t="str">
        <f t="shared" si="3"/>
        <v/>
      </c>
      <c r="O58" s="66" t="str">
        <f>IF(K58="","",((K58*VLOOKUP(F58,Tabelle1!$A$2:$I$496,8,0))/$W$4))</f>
        <v/>
      </c>
      <c r="P58" s="76" t="str">
        <f>IF(K58="","",VLOOKUP(F58,Tabelle1!$A$2:$L$496,12,0))</f>
        <v/>
      </c>
    </row>
    <row r="59" spans="1:25">
      <c r="A59" s="67"/>
      <c r="B59" s="55"/>
      <c r="C59" s="55"/>
      <c r="D59" s="57" t="str">
        <f>IF(K59="","",VLOOKUP(F59,Tabelle1!$A$2:$C$496,3,0))</f>
        <v/>
      </c>
      <c r="E59" s="57" t="str">
        <f>IF(K59="","",VLOOKUP(F59,Tabelle1!$A$2:$M$496,13,0))</f>
        <v/>
      </c>
      <c r="F59" s="56"/>
      <c r="G59" s="57"/>
      <c r="H59" s="57"/>
      <c r="I59" s="57"/>
      <c r="J59" s="57"/>
      <c r="K59" s="57" t="str">
        <f t="shared" si="7"/>
        <v/>
      </c>
      <c r="L59" s="57" t="str">
        <f>IF(K59="","",VLOOKUP(F59,Tabelle1!$A$2:$I$496,9,0))</f>
        <v/>
      </c>
      <c r="M59" s="57" t="str">
        <f>IF(K59="","",VLOOKUP(F59,Tabelle1!$A$2:$G$496,7,0))</f>
        <v/>
      </c>
      <c r="N59" s="66" t="str">
        <f t="shared" si="3"/>
        <v/>
      </c>
      <c r="O59" s="66" t="str">
        <f>IF(K59="","",((K59*VLOOKUP(F59,Tabelle1!$A$2:$I$496,8,0))/$W$4))</f>
        <v/>
      </c>
      <c r="P59" s="76" t="str">
        <f>IF(K59="","",VLOOKUP(F59,Tabelle1!$A$2:$L$496,12,0))</f>
        <v/>
      </c>
    </row>
    <row r="60" spans="1:25">
      <c r="A60" s="67"/>
      <c r="B60" s="55"/>
      <c r="C60" s="55"/>
      <c r="D60" s="57" t="str">
        <f>IF(K60="","",VLOOKUP(F60,Tabelle1!$A$2:$C$496,3,0))</f>
        <v/>
      </c>
      <c r="E60" s="57" t="str">
        <f>IF(K60="","",VLOOKUP(F60,Tabelle1!$A$2:$M$496,13,0))</f>
        <v/>
      </c>
      <c r="F60" s="56"/>
      <c r="G60" s="57"/>
      <c r="H60" s="57"/>
      <c r="I60" s="57"/>
      <c r="J60" s="57"/>
      <c r="K60" s="57" t="str">
        <f t="shared" si="7"/>
        <v/>
      </c>
      <c r="L60" s="57" t="str">
        <f>IF(K60="","",VLOOKUP(F60,Tabelle1!$A$2:$I$496,9,0))</f>
        <v/>
      </c>
      <c r="M60" s="57" t="str">
        <f>IF(K60="","",VLOOKUP(F60,Tabelle1!$A$2:$G$496,7,0))</f>
        <v/>
      </c>
      <c r="N60" s="66" t="str">
        <f t="shared" si="3"/>
        <v/>
      </c>
      <c r="O60" s="66" t="str">
        <f>IF(K60="","",((K60*VLOOKUP(F60,Tabelle1!$A$2:$I$496,8,0))/$W$4))</f>
        <v/>
      </c>
      <c r="P60" s="76" t="str">
        <f>IF(K60="","",VLOOKUP(F60,Tabelle1!$A$2:$L$496,12,0))</f>
        <v/>
      </c>
    </row>
    <row r="61" spans="1:25">
      <c r="A61" s="67"/>
      <c r="B61" s="55"/>
      <c r="C61" s="55"/>
      <c r="D61" s="57" t="str">
        <f>IF(K61="","",VLOOKUP(F61,Tabelle1!$A$2:$C$496,3,0))</f>
        <v/>
      </c>
      <c r="E61" s="57" t="str">
        <f>IF(K61="","",VLOOKUP(F61,Tabelle1!$A$2:$M$496,13,0))</f>
        <v/>
      </c>
      <c r="F61" s="56"/>
      <c r="G61" s="57"/>
      <c r="H61" s="57"/>
      <c r="I61" s="57"/>
      <c r="J61" s="57"/>
      <c r="K61" s="57" t="str">
        <f t="shared" si="7"/>
        <v/>
      </c>
      <c r="L61" s="57" t="str">
        <f>IF(K61="","",VLOOKUP(F61,Tabelle1!$A$2:$I$496,9,0))</f>
        <v/>
      </c>
      <c r="M61" s="57" t="str">
        <f>IF(K61="","",VLOOKUP(F61,Tabelle1!$A$2:$G$496,7,0))</f>
        <v/>
      </c>
      <c r="N61" s="66" t="str">
        <f t="shared" si="3"/>
        <v/>
      </c>
      <c r="O61" s="66" t="str">
        <f>IF(K61="","",((K61*VLOOKUP(F61,Tabelle1!$A$2:$I$496,8,0))/$W$4))</f>
        <v/>
      </c>
      <c r="P61" s="76" t="str">
        <f>IF(K61="","",VLOOKUP(F61,Tabelle1!$A$2:$L$496,12,0))</f>
        <v/>
      </c>
    </row>
    <row r="62" spans="1:25">
      <c r="A62" s="67"/>
      <c r="B62" s="55"/>
      <c r="C62" s="55"/>
      <c r="D62" s="57" t="str">
        <f>IF(K62="","",VLOOKUP(F62,Tabelle1!$A$2:$C$496,3,0))</f>
        <v/>
      </c>
      <c r="E62" s="57" t="str">
        <f>IF(K62="","",VLOOKUP(F62,Tabelle1!$A$2:$M$496,13,0))</f>
        <v/>
      </c>
      <c r="F62" s="56"/>
      <c r="G62" s="57"/>
      <c r="H62" s="57"/>
      <c r="I62" s="57"/>
      <c r="J62" s="57"/>
      <c r="K62" s="57" t="str">
        <f t="shared" si="7"/>
        <v/>
      </c>
      <c r="L62" s="57" t="str">
        <f>IF(K62="","",VLOOKUP(F62,Tabelle1!$A$2:$I$496,9,0))</f>
        <v/>
      </c>
      <c r="M62" s="57" t="str">
        <f>IF(K62="","",VLOOKUP(F62,Tabelle1!$A$2:$G$496,7,0))</f>
        <v/>
      </c>
      <c r="N62" s="66" t="str">
        <f t="shared" si="3"/>
        <v/>
      </c>
      <c r="O62" s="66" t="str">
        <f>IF(K62="","",((K62*VLOOKUP(F62,Tabelle1!$A$2:$I$496,8,0))/$W$4))</f>
        <v/>
      </c>
      <c r="P62" s="76" t="str">
        <f>IF(K62="","",VLOOKUP(F62,Tabelle1!$A$2:$L$496,12,0))</f>
        <v/>
      </c>
    </row>
    <row r="63" spans="1:25">
      <c r="A63" s="67"/>
      <c r="B63" s="55"/>
      <c r="C63" s="55"/>
      <c r="D63" s="57" t="str">
        <f>IF(K63="","",VLOOKUP(F63,Tabelle1!$A$2:$C$496,3,0))</f>
        <v/>
      </c>
      <c r="E63" s="57" t="str">
        <f>IF(K63="","",VLOOKUP(F63,Tabelle1!$A$2:$M$496,13,0))</f>
        <v/>
      </c>
      <c r="F63" s="56"/>
      <c r="G63" s="57"/>
      <c r="H63" s="57"/>
      <c r="I63" s="57"/>
      <c r="J63" s="57"/>
      <c r="K63" s="57" t="str">
        <f t="shared" si="7"/>
        <v/>
      </c>
      <c r="L63" s="57" t="str">
        <f>IF(K63="","",VLOOKUP(F63,Tabelle1!$A$2:$I$496,9,0))</f>
        <v/>
      </c>
      <c r="M63" s="57" t="str">
        <f>IF(K63="","",VLOOKUP(F63,Tabelle1!$A$2:$G$496,7,0))</f>
        <v/>
      </c>
      <c r="N63" s="66" t="str">
        <f t="shared" si="3"/>
        <v/>
      </c>
      <c r="O63" s="66" t="str">
        <f>IF(K63="","",((K63*VLOOKUP(F63,Tabelle1!$A$2:$I$496,8,0))/$W$4))</f>
        <v/>
      </c>
      <c r="P63" s="76" t="str">
        <f>IF(K63="","",VLOOKUP(F63,Tabelle1!$A$2:$L$496,12,0))</f>
        <v/>
      </c>
    </row>
    <row r="64" spans="1:25">
      <c r="A64" s="67"/>
      <c r="B64" s="55"/>
      <c r="C64" s="55"/>
      <c r="D64" s="57" t="str">
        <f>IF(K64="","",VLOOKUP(F64,Tabelle1!$A$2:$C$496,3,0))</f>
        <v/>
      </c>
      <c r="E64" s="57" t="str">
        <f>IF(K64="","",VLOOKUP(F64,Tabelle1!$A$2:$M$496,13,0))</f>
        <v/>
      </c>
      <c r="F64" s="56"/>
      <c r="G64" s="57"/>
      <c r="H64" s="57"/>
      <c r="I64" s="57"/>
      <c r="J64" s="57"/>
      <c r="K64" s="57" t="str">
        <f t="shared" si="7"/>
        <v/>
      </c>
      <c r="L64" s="57" t="str">
        <f>IF(K64="","",VLOOKUP(F64,Tabelle1!$A$2:$I$496,9,0))</f>
        <v/>
      </c>
      <c r="M64" s="57" t="str">
        <f>IF(K64="","",VLOOKUP(F64,Tabelle1!$A$2:$G$496,7,0))</f>
        <v/>
      </c>
      <c r="N64" s="66" t="str">
        <f t="shared" si="3"/>
        <v/>
      </c>
      <c r="O64" s="66" t="str">
        <f>IF(K64="","",((K64*VLOOKUP(F64,Tabelle1!$A$2:$I$496,8,0))/$W$4))</f>
        <v/>
      </c>
      <c r="P64" s="76" t="str">
        <f>IF(K64="","",VLOOKUP(F64,Tabelle1!$A$2:$L$496,12,0))</f>
        <v/>
      </c>
    </row>
    <row r="65" spans="1:16">
      <c r="A65" s="67"/>
      <c r="B65" s="55"/>
      <c r="C65" s="55"/>
      <c r="D65" s="57" t="str">
        <f>IF(K65="","",VLOOKUP(F65,Tabelle1!$A$2:$C$496,3,0))</f>
        <v/>
      </c>
      <c r="E65" s="57" t="str">
        <f>IF(K65="","",VLOOKUP(F65,Tabelle1!$A$2:$M$496,13,0))</f>
        <v/>
      </c>
      <c r="F65" s="56"/>
      <c r="G65" s="57"/>
      <c r="H65" s="57"/>
      <c r="I65" s="57"/>
      <c r="J65" s="57"/>
      <c r="K65" s="57" t="str">
        <f t="shared" si="7"/>
        <v/>
      </c>
      <c r="L65" s="57" t="str">
        <f>IF(K65="","",VLOOKUP(F65,Tabelle1!$A$2:$I$496,9,0))</f>
        <v/>
      </c>
      <c r="M65" s="57" t="str">
        <f>IF(K65="","",VLOOKUP(F65,Tabelle1!$A$2:$G$496,7,0))</f>
        <v/>
      </c>
      <c r="N65" s="66" t="str">
        <f t="shared" si="3"/>
        <v/>
      </c>
      <c r="O65" s="66" t="str">
        <f>IF(K65="","",((K65*VLOOKUP(F65,Tabelle1!$A$2:$I$496,8,0))/$W$4))</f>
        <v/>
      </c>
      <c r="P65" s="76" t="str">
        <f>IF(K65="","",VLOOKUP(F65,Tabelle1!$A$2:$L$496,12,0))</f>
        <v/>
      </c>
    </row>
    <row r="66" spans="1:16">
      <c r="A66" s="67"/>
      <c r="B66" s="55"/>
      <c r="C66" s="55"/>
      <c r="D66" s="57" t="str">
        <f>IF(K66="","",VLOOKUP(F66,Tabelle1!$A$2:$C$496,3,0))</f>
        <v/>
      </c>
      <c r="E66" s="57" t="str">
        <f>IF(K66="","",VLOOKUP(F66,Tabelle1!$A$2:$M$496,13,0))</f>
        <v/>
      </c>
      <c r="F66" s="56"/>
      <c r="G66" s="57"/>
      <c r="H66" s="57"/>
      <c r="I66" s="57"/>
      <c r="J66" s="57"/>
      <c r="K66" s="57" t="str">
        <f t="shared" si="7"/>
        <v/>
      </c>
      <c r="L66" s="57" t="str">
        <f>IF(K66="","",VLOOKUP(F66,Tabelle1!$A$2:$I$496,9,0))</f>
        <v/>
      </c>
      <c r="M66" s="57" t="str">
        <f>IF(K66="","",VLOOKUP(F66,Tabelle1!$A$2:$G$496,7,0))</f>
        <v/>
      </c>
      <c r="N66" s="66" t="str">
        <f t="shared" si="3"/>
        <v/>
      </c>
      <c r="O66" s="66" t="str">
        <f>IF(K66="","",((K66*VLOOKUP(F66,Tabelle1!$A$2:$I$496,8,0))/$W$4))</f>
        <v/>
      </c>
      <c r="P66" s="76" t="str">
        <f>IF(K66="","",VLOOKUP(F66,Tabelle1!$A$2:$L$496,12,0))</f>
        <v/>
      </c>
    </row>
    <row r="67" spans="1:16">
      <c r="A67" s="67"/>
      <c r="B67" s="55"/>
      <c r="C67" s="55"/>
      <c r="D67" s="57" t="str">
        <f>IF(K67="","",VLOOKUP(F67,Tabelle1!$A$2:$C$496,3,0))</f>
        <v/>
      </c>
      <c r="E67" s="57" t="str">
        <f>IF(K67="","",VLOOKUP(F67,Tabelle1!$A$2:$M$496,13,0))</f>
        <v/>
      </c>
      <c r="F67" s="56"/>
      <c r="G67" s="57"/>
      <c r="H67" s="57"/>
      <c r="I67" s="57"/>
      <c r="J67" s="57"/>
      <c r="K67" s="57" t="str">
        <f t="shared" si="7"/>
        <v/>
      </c>
      <c r="L67" s="57" t="str">
        <f>IF(K67="","",VLOOKUP(F67,Tabelle1!$A$2:$I$496,9,0))</f>
        <v/>
      </c>
      <c r="M67" s="57" t="str">
        <f>IF(K67="","",VLOOKUP(F67,Tabelle1!$A$2:$G$496,7,0))</f>
        <v/>
      </c>
      <c r="N67" s="66" t="str">
        <f t="shared" si="3"/>
        <v/>
      </c>
      <c r="O67" s="66" t="str">
        <f>IF(K67="","",((K67*VLOOKUP(F67,Tabelle1!$A$2:$I$496,8,0))/$W$4))</f>
        <v/>
      </c>
      <c r="P67" s="76" t="str">
        <f>IF(K67="","",VLOOKUP(F67,Tabelle1!$A$2:$L$496,12,0))</f>
        <v/>
      </c>
    </row>
    <row r="68" spans="1:16">
      <c r="A68" s="67"/>
      <c r="B68" s="55"/>
      <c r="C68" s="55"/>
      <c r="D68" s="57" t="str">
        <f>IF(K68="","",VLOOKUP(F68,Tabelle1!$A$2:$C$496,3,0))</f>
        <v/>
      </c>
      <c r="E68" s="57" t="str">
        <f>IF(K68="","",VLOOKUP(F68,Tabelle1!$A$2:$M$496,13,0))</f>
        <v/>
      </c>
      <c r="F68" s="56"/>
      <c r="G68" s="57"/>
      <c r="H68" s="57"/>
      <c r="I68" s="57"/>
      <c r="J68" s="57"/>
      <c r="K68" s="57" t="str">
        <f t="shared" si="7"/>
        <v/>
      </c>
      <c r="L68" s="57" t="str">
        <f>IF(K68="","",VLOOKUP(F68,Tabelle1!$A$2:$I$496,9,0))</f>
        <v/>
      </c>
      <c r="M68" s="57" t="str">
        <f>IF(K68="","",VLOOKUP(F68,Tabelle1!$A$2:$G$496,7,0))</f>
        <v/>
      </c>
      <c r="N68" s="66" t="str">
        <f t="shared" si="3"/>
        <v/>
      </c>
      <c r="O68" s="66" t="str">
        <f>IF(K68="","",((K68*VLOOKUP(F68,Tabelle1!$A$2:$I$496,8,0))/$W$4))</f>
        <v/>
      </c>
      <c r="P68" s="76" t="str">
        <f>IF(K68="","",VLOOKUP(F68,Tabelle1!$A$2:$L$496,12,0))</f>
        <v/>
      </c>
    </row>
    <row r="69" spans="1:16">
      <c r="A69" s="67"/>
      <c r="B69" s="55"/>
      <c r="C69" s="55"/>
      <c r="D69" s="57" t="str">
        <f>IF(K69="","",VLOOKUP(F69,Tabelle1!$A$2:$C$496,3,0))</f>
        <v/>
      </c>
      <c r="E69" s="57" t="str">
        <f>IF(K69="","",VLOOKUP(F69,Tabelle1!$A$2:$M$496,13,0))</f>
        <v/>
      </c>
      <c r="F69" s="56"/>
      <c r="G69" s="57"/>
      <c r="H69" s="57"/>
      <c r="I69" s="57"/>
      <c r="J69" s="57"/>
      <c r="K69" s="57" t="str">
        <f t="shared" ref="K69:K132" si="8">IF(F69="","",C69*G69*H69)</f>
        <v/>
      </c>
      <c r="L69" s="57" t="str">
        <f>IF(K69="","",VLOOKUP(F69,Tabelle1!$A$2:$I$496,9,0))</f>
        <v/>
      </c>
      <c r="M69" s="57" t="str">
        <f>IF(K69="","",VLOOKUP(F69,Tabelle1!$A$2:$G$496,7,0))</f>
        <v/>
      </c>
      <c r="N69" s="66" t="str">
        <f t="shared" ref="N69:N132" si="9">IF(M69&gt;0,O69,"")</f>
        <v/>
      </c>
      <c r="O69" s="66" t="str">
        <f>IF(K69="","",((K69*VLOOKUP(F69,Tabelle1!$A$2:$I$496,8,0))/$W$4))</f>
        <v/>
      </c>
      <c r="P69" s="76" t="str">
        <f>IF(K69="","",VLOOKUP(F69,Tabelle1!$A$2:$L$496,12,0))</f>
        <v/>
      </c>
    </row>
    <row r="70" spans="1:16">
      <c r="A70" s="67"/>
      <c r="B70" s="55"/>
      <c r="C70" s="55"/>
      <c r="D70" s="57" t="str">
        <f>IF(K70="","",VLOOKUP(F70,Tabelle1!$A$2:$C$496,3,0))</f>
        <v/>
      </c>
      <c r="E70" s="57" t="str">
        <f>IF(K70="","",VLOOKUP(F70,Tabelle1!$A$2:$M$496,13,0))</f>
        <v/>
      </c>
      <c r="F70" s="56"/>
      <c r="G70" s="57"/>
      <c r="H70" s="57"/>
      <c r="I70" s="57"/>
      <c r="J70" s="57"/>
      <c r="K70" s="57" t="str">
        <f t="shared" si="8"/>
        <v/>
      </c>
      <c r="L70" s="57" t="str">
        <f>IF(K70="","",VLOOKUP(F70,Tabelle1!$A$2:$I$496,9,0))</f>
        <v/>
      </c>
      <c r="M70" s="57" t="str">
        <f>IF(K70="","",VLOOKUP(F70,Tabelle1!$A$2:$G$496,7,0))</f>
        <v/>
      </c>
      <c r="N70" s="66" t="str">
        <f t="shared" si="9"/>
        <v/>
      </c>
      <c r="O70" s="66" t="str">
        <f>IF(K70="","",((K70*VLOOKUP(F70,Tabelle1!$A$2:$I$496,8,0))/$W$4))</f>
        <v/>
      </c>
      <c r="P70" s="76" t="str">
        <f>IF(K70="","",VLOOKUP(F70,Tabelle1!$A$2:$L$496,12,0))</f>
        <v/>
      </c>
    </row>
    <row r="71" spans="1:16">
      <c r="A71" s="67"/>
      <c r="B71" s="55"/>
      <c r="C71" s="55"/>
      <c r="D71" s="57" t="str">
        <f>IF(K71="","",VLOOKUP(F71,Tabelle1!$A$2:$C$496,3,0))</f>
        <v/>
      </c>
      <c r="E71" s="57" t="str">
        <f>IF(K71="","",VLOOKUP(F71,Tabelle1!$A$2:$M$496,13,0))</f>
        <v/>
      </c>
      <c r="F71" s="56"/>
      <c r="G71" s="57"/>
      <c r="H71" s="57"/>
      <c r="I71" s="57"/>
      <c r="J71" s="57"/>
      <c r="K71" s="57" t="str">
        <f t="shared" si="8"/>
        <v/>
      </c>
      <c r="L71" s="57" t="str">
        <f>IF(K71="","",VLOOKUP(F71,Tabelle1!$A$2:$I$496,9,0))</f>
        <v/>
      </c>
      <c r="M71" s="57" t="str">
        <f>IF(K71="","",VLOOKUP(F71,Tabelle1!$A$2:$G$496,7,0))</f>
        <v/>
      </c>
      <c r="N71" s="66" t="str">
        <f t="shared" si="9"/>
        <v/>
      </c>
      <c r="O71" s="66" t="str">
        <f>IF(K71="","",((K71*VLOOKUP(F71,Tabelle1!$A$2:$I$496,8,0))/$W$4))</f>
        <v/>
      </c>
      <c r="P71" s="76" t="str">
        <f>IF(K71="","",VLOOKUP(F71,Tabelle1!$A$2:$L$496,12,0))</f>
        <v/>
      </c>
    </row>
    <row r="72" spans="1:16">
      <c r="A72" s="67"/>
      <c r="B72" s="55"/>
      <c r="C72" s="55"/>
      <c r="D72" s="57" t="str">
        <f>IF(K72="","",VLOOKUP(F72,Tabelle1!$A$2:$C$496,3,0))</f>
        <v/>
      </c>
      <c r="E72" s="57" t="str">
        <f>IF(K72="","",VLOOKUP(F72,Tabelle1!$A$2:$M$496,13,0))</f>
        <v/>
      </c>
      <c r="F72" s="56"/>
      <c r="G72" s="57"/>
      <c r="H72" s="57"/>
      <c r="I72" s="57"/>
      <c r="J72" s="57"/>
      <c r="K72" s="57" t="str">
        <f t="shared" si="8"/>
        <v/>
      </c>
      <c r="L72" s="57" t="str">
        <f>IF(K72="","",VLOOKUP(F72,Tabelle1!$A$2:$I$496,9,0))</f>
        <v/>
      </c>
      <c r="M72" s="57" t="str">
        <f>IF(K72="","",VLOOKUP(F72,Tabelle1!$A$2:$G$496,7,0))</f>
        <v/>
      </c>
      <c r="N72" s="66" t="str">
        <f t="shared" si="9"/>
        <v/>
      </c>
      <c r="O72" s="66" t="str">
        <f>IF(K72="","",((K72*VLOOKUP(F72,Tabelle1!$A$2:$I$496,8,0))/$W$4))</f>
        <v/>
      </c>
      <c r="P72" s="76" t="str">
        <f>IF(K72="","",VLOOKUP(F72,Tabelle1!$A$2:$L$496,12,0))</f>
        <v/>
      </c>
    </row>
    <row r="73" spans="1:16">
      <c r="A73" s="67"/>
      <c r="B73" s="55"/>
      <c r="C73" s="55"/>
      <c r="D73" s="57" t="str">
        <f>IF(K73="","",VLOOKUP(F73,Tabelle1!$A$2:$C$496,3,0))</f>
        <v/>
      </c>
      <c r="E73" s="57" t="str">
        <f>IF(K73="","",VLOOKUP(F73,Tabelle1!$A$2:$M$496,13,0))</f>
        <v/>
      </c>
      <c r="F73" s="56"/>
      <c r="G73" s="57"/>
      <c r="H73" s="57"/>
      <c r="I73" s="57"/>
      <c r="J73" s="57"/>
      <c r="K73" s="57" t="str">
        <f t="shared" si="8"/>
        <v/>
      </c>
      <c r="L73" s="57" t="str">
        <f>IF(K73="","",VLOOKUP(F73,Tabelle1!$A$2:$I$496,9,0))</f>
        <v/>
      </c>
      <c r="M73" s="57" t="str">
        <f>IF(K73="","",VLOOKUP(F73,Tabelle1!$A$2:$G$496,7,0))</f>
        <v/>
      </c>
      <c r="N73" s="66" t="str">
        <f t="shared" si="9"/>
        <v/>
      </c>
      <c r="O73" s="66" t="str">
        <f>IF(K73="","",((K73*VLOOKUP(F73,Tabelle1!$A$2:$I$496,8,0))/$W$4))</f>
        <v/>
      </c>
      <c r="P73" s="76" t="str">
        <f>IF(K73="","",VLOOKUP(F73,Tabelle1!$A$2:$L$496,12,0))</f>
        <v/>
      </c>
    </row>
    <row r="74" spans="1:16">
      <c r="A74" s="67"/>
      <c r="B74" s="55"/>
      <c r="C74" s="55"/>
      <c r="D74" s="57" t="str">
        <f>IF(K74="","",VLOOKUP(F74,Tabelle1!$A$2:$C$496,3,0))</f>
        <v/>
      </c>
      <c r="E74" s="57" t="str">
        <f>IF(K74="","",VLOOKUP(F74,Tabelle1!$A$2:$M$496,13,0))</f>
        <v/>
      </c>
      <c r="F74" s="56"/>
      <c r="G74" s="57"/>
      <c r="H74" s="57"/>
      <c r="I74" s="57"/>
      <c r="J74" s="57"/>
      <c r="K74" s="57" t="str">
        <f t="shared" si="8"/>
        <v/>
      </c>
      <c r="L74" s="57" t="str">
        <f>IF(K74="","",VLOOKUP(F74,Tabelle1!$A$2:$I$496,9,0))</f>
        <v/>
      </c>
      <c r="M74" s="57" t="str">
        <f>IF(K74="","",VLOOKUP(F74,Tabelle1!$A$2:$G$496,7,0))</f>
        <v/>
      </c>
      <c r="N74" s="66" t="str">
        <f t="shared" si="9"/>
        <v/>
      </c>
      <c r="O74" s="66" t="str">
        <f>IF(K74="","",((K74*VLOOKUP(F74,Tabelle1!$A$2:$I$496,8,0))/$W$4))</f>
        <v/>
      </c>
      <c r="P74" s="76" t="str">
        <f>IF(K74="","",VLOOKUP(F74,Tabelle1!$A$2:$L$496,12,0))</f>
        <v/>
      </c>
    </row>
    <row r="75" spans="1:16">
      <c r="A75" s="67"/>
      <c r="B75" s="55"/>
      <c r="C75" s="55"/>
      <c r="D75" s="57" t="str">
        <f>IF(K75="","",VLOOKUP(F75,Tabelle1!$A$2:$C$496,3,0))</f>
        <v/>
      </c>
      <c r="E75" s="57" t="str">
        <f>IF(K75="","",VLOOKUP(F75,Tabelle1!$A$2:$M$496,13,0))</f>
        <v/>
      </c>
      <c r="F75" s="56"/>
      <c r="G75" s="57"/>
      <c r="H75" s="57"/>
      <c r="I75" s="57"/>
      <c r="J75" s="57"/>
      <c r="K75" s="57" t="str">
        <f t="shared" si="8"/>
        <v/>
      </c>
      <c r="L75" s="57" t="str">
        <f>IF(K75="","",VLOOKUP(F75,Tabelle1!$A$2:$I$496,9,0))</f>
        <v/>
      </c>
      <c r="M75" s="57" t="str">
        <f>IF(K75="","",VLOOKUP(F75,Tabelle1!$A$2:$G$496,7,0))</f>
        <v/>
      </c>
      <c r="N75" s="66" t="str">
        <f t="shared" si="9"/>
        <v/>
      </c>
      <c r="O75" s="66" t="str">
        <f>IF(K75="","",((K75*VLOOKUP(F75,Tabelle1!$A$2:$I$496,8,0))/$W$4))</f>
        <v/>
      </c>
      <c r="P75" s="76" t="str">
        <f>IF(K75="","",VLOOKUP(F75,Tabelle1!$A$2:$L$496,12,0))</f>
        <v/>
      </c>
    </row>
    <row r="76" spans="1:16">
      <c r="A76" s="67"/>
      <c r="B76" s="55"/>
      <c r="C76" s="55"/>
      <c r="D76" s="57" t="str">
        <f>IF(K76="","",VLOOKUP(F76,Tabelle1!$A$2:$C$496,3,0))</f>
        <v/>
      </c>
      <c r="E76" s="57" t="str">
        <f>IF(K76="","",VLOOKUP(F76,Tabelle1!$A$2:$M$496,13,0))</f>
        <v/>
      </c>
      <c r="F76" s="56"/>
      <c r="G76" s="57"/>
      <c r="H76" s="57"/>
      <c r="I76" s="57"/>
      <c r="J76" s="57"/>
      <c r="K76" s="57" t="str">
        <f t="shared" si="8"/>
        <v/>
      </c>
      <c r="L76" s="57" t="str">
        <f>IF(K76="","",VLOOKUP(F76,Tabelle1!$A$2:$I$496,9,0))</f>
        <v/>
      </c>
      <c r="M76" s="57" t="str">
        <f>IF(K76="","",VLOOKUP(F76,Tabelle1!$A$2:$G$496,7,0))</f>
        <v/>
      </c>
      <c r="N76" s="66" t="str">
        <f t="shared" si="9"/>
        <v/>
      </c>
      <c r="O76" s="66" t="str">
        <f>IF(K76="","",((K76*VLOOKUP(F76,Tabelle1!$A$2:$I$496,8,0))/$W$4))</f>
        <v/>
      </c>
      <c r="P76" s="76" t="str">
        <f>IF(K76="","",VLOOKUP(F76,Tabelle1!$A$2:$L$496,12,0))</f>
        <v/>
      </c>
    </row>
    <row r="77" spans="1:16">
      <c r="A77" s="67"/>
      <c r="B77" s="55"/>
      <c r="C77" s="55"/>
      <c r="D77" s="57" t="str">
        <f>IF(K77="","",VLOOKUP(F77,Tabelle1!$A$2:$C$496,3,0))</f>
        <v/>
      </c>
      <c r="E77" s="57" t="str">
        <f>IF(K77="","",VLOOKUP(F77,Tabelle1!$A$2:$M$496,13,0))</f>
        <v/>
      </c>
      <c r="F77" s="56"/>
      <c r="G77" s="57"/>
      <c r="H77" s="57"/>
      <c r="I77" s="57"/>
      <c r="J77" s="57"/>
      <c r="K77" s="57" t="str">
        <f t="shared" si="8"/>
        <v/>
      </c>
      <c r="L77" s="57" t="str">
        <f>IF(K77="","",VLOOKUP(F77,Tabelle1!$A$2:$I$496,9,0))</f>
        <v/>
      </c>
      <c r="M77" s="57" t="str">
        <f>IF(K77="","",VLOOKUP(F77,Tabelle1!$A$2:$G$496,7,0))</f>
        <v/>
      </c>
      <c r="N77" s="66" t="str">
        <f t="shared" si="9"/>
        <v/>
      </c>
      <c r="O77" s="66" t="str">
        <f>IF(K77="","",((K77*VLOOKUP(F77,Tabelle1!$A$2:$I$496,8,0))/$W$4))</f>
        <v/>
      </c>
      <c r="P77" s="76" t="str">
        <f>IF(K77="","",VLOOKUP(F77,Tabelle1!$A$2:$L$496,12,0))</f>
        <v/>
      </c>
    </row>
    <row r="78" spans="1:16">
      <c r="A78" s="67"/>
      <c r="B78" s="55"/>
      <c r="C78" s="55"/>
      <c r="D78" s="57" t="str">
        <f>IF(K78="","",VLOOKUP(F78,Tabelle1!$A$2:$C$496,3,0))</f>
        <v/>
      </c>
      <c r="E78" s="57" t="str">
        <f>IF(K78="","",VLOOKUP(F78,Tabelle1!$A$2:$M$496,13,0))</f>
        <v/>
      </c>
      <c r="F78" s="56"/>
      <c r="G78" s="57"/>
      <c r="H78" s="57"/>
      <c r="I78" s="57"/>
      <c r="J78" s="57"/>
      <c r="K78" s="57" t="str">
        <f t="shared" si="8"/>
        <v/>
      </c>
      <c r="L78" s="57" t="str">
        <f>IF(K78="","",VLOOKUP(F78,Tabelle1!$A$2:$I$496,9,0))</f>
        <v/>
      </c>
      <c r="M78" s="57" t="str">
        <f>IF(K78="","",VLOOKUP(F78,Tabelle1!$A$2:$G$496,7,0))</f>
        <v/>
      </c>
      <c r="N78" s="66" t="str">
        <f t="shared" si="9"/>
        <v/>
      </c>
      <c r="O78" s="66" t="str">
        <f>IF(K78="","",((K78*VLOOKUP(F78,Tabelle1!$A$2:$I$496,8,0))/$W$4))</f>
        <v/>
      </c>
      <c r="P78" s="76" t="str">
        <f>IF(K78="","",VLOOKUP(F78,Tabelle1!$A$2:$L$496,12,0))</f>
        <v/>
      </c>
    </row>
    <row r="79" spans="1:16">
      <c r="A79" s="67"/>
      <c r="B79" s="55"/>
      <c r="C79" s="55"/>
      <c r="D79" s="57" t="str">
        <f>IF(K79="","",VLOOKUP(F79,Tabelle1!$A$2:$C$496,3,0))</f>
        <v/>
      </c>
      <c r="E79" s="57" t="str">
        <f>IF(K79="","",VLOOKUP(F79,Tabelle1!$A$2:$M$496,13,0))</f>
        <v/>
      </c>
      <c r="F79" s="56"/>
      <c r="G79" s="57"/>
      <c r="H79" s="57"/>
      <c r="I79" s="57"/>
      <c r="J79" s="57"/>
      <c r="K79" s="57" t="str">
        <f t="shared" si="8"/>
        <v/>
      </c>
      <c r="L79" s="57" t="str">
        <f>IF(K79="","",VLOOKUP(F79,Tabelle1!$A$2:$I$496,9,0))</f>
        <v/>
      </c>
      <c r="M79" s="57" t="str">
        <f>IF(K79="","",VLOOKUP(F79,Tabelle1!$A$2:$G$496,7,0))</f>
        <v/>
      </c>
      <c r="N79" s="66" t="str">
        <f t="shared" si="9"/>
        <v/>
      </c>
      <c r="O79" s="66" t="str">
        <f>IF(K79="","",((K79*VLOOKUP(F79,Tabelle1!$A$2:$I$496,8,0))/$W$4))</f>
        <v/>
      </c>
      <c r="P79" s="76" t="str">
        <f>IF(K79="","",VLOOKUP(F79,Tabelle1!$A$2:$L$496,12,0))</f>
        <v/>
      </c>
    </row>
    <row r="80" spans="1:16">
      <c r="A80" s="67"/>
      <c r="B80" s="55"/>
      <c r="C80" s="55"/>
      <c r="D80" s="57" t="str">
        <f>IF(K80="","",VLOOKUP(F80,Tabelle1!$A$2:$C$496,3,0))</f>
        <v/>
      </c>
      <c r="E80" s="57" t="str">
        <f>IF(K80="","",VLOOKUP(F80,Tabelle1!$A$2:$M$496,13,0))</f>
        <v/>
      </c>
      <c r="F80" s="56"/>
      <c r="G80" s="57"/>
      <c r="H80" s="57"/>
      <c r="I80" s="57"/>
      <c r="J80" s="57"/>
      <c r="K80" s="57" t="str">
        <f t="shared" si="8"/>
        <v/>
      </c>
      <c r="L80" s="57" t="str">
        <f>IF(K80="","",VLOOKUP(F80,Tabelle1!$A$2:$I$496,9,0))</f>
        <v/>
      </c>
      <c r="M80" s="57" t="str">
        <f>IF(K80="","",VLOOKUP(F80,Tabelle1!$A$2:$G$496,7,0))</f>
        <v/>
      </c>
      <c r="N80" s="66" t="str">
        <f t="shared" si="9"/>
        <v/>
      </c>
      <c r="O80" s="66" t="str">
        <f>IF(K80="","",((K80*VLOOKUP(F80,Tabelle1!$A$2:$I$496,8,0))/$W$4))</f>
        <v/>
      </c>
      <c r="P80" s="76" t="str">
        <f>IF(K80="","",VLOOKUP(F80,Tabelle1!$A$2:$L$496,12,0))</f>
        <v/>
      </c>
    </row>
    <row r="81" spans="1:16">
      <c r="A81" s="67"/>
      <c r="B81" s="55"/>
      <c r="C81" s="55"/>
      <c r="D81" s="57" t="str">
        <f>IF(K81="","",VLOOKUP(F81,Tabelle1!$A$2:$C$496,3,0))</f>
        <v/>
      </c>
      <c r="E81" s="57" t="str">
        <f>IF(K81="","",VLOOKUP(F81,Tabelle1!$A$2:$M$496,13,0))</f>
        <v/>
      </c>
      <c r="F81" s="56"/>
      <c r="G81" s="57"/>
      <c r="H81" s="57"/>
      <c r="I81" s="57"/>
      <c r="J81" s="57"/>
      <c r="K81" s="57" t="str">
        <f t="shared" si="8"/>
        <v/>
      </c>
      <c r="L81" s="57" t="str">
        <f>IF(K81="","",VLOOKUP(F81,Tabelle1!$A$2:$I$496,9,0))</f>
        <v/>
      </c>
      <c r="M81" s="57" t="str">
        <f>IF(K81="","",VLOOKUP(F81,Tabelle1!$A$2:$G$496,7,0))</f>
        <v/>
      </c>
      <c r="N81" s="66" t="str">
        <f t="shared" si="9"/>
        <v/>
      </c>
      <c r="O81" s="66" t="str">
        <f>IF(K81="","",((K81*VLOOKUP(F81,Tabelle1!$A$2:$I$496,8,0))/$W$4))</f>
        <v/>
      </c>
      <c r="P81" s="76" t="str">
        <f>IF(K81="","",VLOOKUP(F81,Tabelle1!$A$2:$L$496,12,0))</f>
        <v/>
      </c>
    </row>
    <row r="82" spans="1:16">
      <c r="A82" s="67"/>
      <c r="B82" s="55"/>
      <c r="C82" s="55"/>
      <c r="D82" s="57" t="str">
        <f>IF(K82="","",VLOOKUP(F82,Tabelle1!$A$2:$C$496,3,0))</f>
        <v/>
      </c>
      <c r="E82" s="57" t="str">
        <f>IF(K82="","",VLOOKUP(F82,Tabelle1!$A$2:$M$496,13,0))</f>
        <v/>
      </c>
      <c r="F82" s="56"/>
      <c r="G82" s="57"/>
      <c r="H82" s="57"/>
      <c r="I82" s="57"/>
      <c r="J82" s="57"/>
      <c r="K82" s="57" t="str">
        <f t="shared" si="8"/>
        <v/>
      </c>
      <c r="L82" s="57" t="str">
        <f>IF(K82="","",VLOOKUP(F82,Tabelle1!$A$2:$I$496,9,0))</f>
        <v/>
      </c>
      <c r="M82" s="57" t="str">
        <f>IF(K82="","",VLOOKUP(F82,Tabelle1!$A$2:$G$496,7,0))</f>
        <v/>
      </c>
      <c r="N82" s="66" t="str">
        <f t="shared" si="9"/>
        <v/>
      </c>
      <c r="O82" s="66" t="str">
        <f>IF(K82="","",((K82*VLOOKUP(F82,Tabelle1!$A$2:$I$496,8,0))/$W$4))</f>
        <v/>
      </c>
      <c r="P82" s="76" t="str">
        <f>IF(K82="","",VLOOKUP(F82,Tabelle1!$A$2:$L$496,12,0))</f>
        <v/>
      </c>
    </row>
    <row r="83" spans="1:16">
      <c r="A83" s="67"/>
      <c r="B83" s="55"/>
      <c r="C83" s="55"/>
      <c r="D83" s="57" t="str">
        <f>IF(K83="","",VLOOKUP(F83,Tabelle1!$A$2:$C$496,3,0))</f>
        <v/>
      </c>
      <c r="E83" s="57" t="str">
        <f>IF(K83="","",VLOOKUP(F83,Tabelle1!$A$2:$M$496,13,0))</f>
        <v/>
      </c>
      <c r="F83" s="56"/>
      <c r="G83" s="57"/>
      <c r="H83" s="57"/>
      <c r="I83" s="57"/>
      <c r="J83" s="57"/>
      <c r="K83" s="57" t="str">
        <f t="shared" si="8"/>
        <v/>
      </c>
      <c r="L83" s="57" t="str">
        <f>IF(K83="","",VLOOKUP(F83,Tabelle1!$A$2:$I$496,9,0))</f>
        <v/>
      </c>
      <c r="M83" s="57" t="str">
        <f>IF(K83="","",VLOOKUP(F83,Tabelle1!$A$2:$G$496,7,0))</f>
        <v/>
      </c>
      <c r="N83" s="66" t="str">
        <f t="shared" si="9"/>
        <v/>
      </c>
      <c r="O83" s="66" t="str">
        <f>IF(K83="","",((K83*VLOOKUP(F83,Tabelle1!$A$2:$I$496,8,0))/$W$4))</f>
        <v/>
      </c>
      <c r="P83" s="76" t="str">
        <f>IF(K83="","",VLOOKUP(F83,Tabelle1!$A$2:$L$496,12,0))</f>
        <v/>
      </c>
    </row>
    <row r="84" spans="1:16">
      <c r="A84" s="67"/>
      <c r="B84" s="55"/>
      <c r="C84" s="55"/>
      <c r="D84" s="57" t="str">
        <f>IF(K84="","",VLOOKUP(F84,Tabelle1!$A$2:$C$496,3,0))</f>
        <v/>
      </c>
      <c r="E84" s="57" t="str">
        <f>IF(K84="","",VLOOKUP(F84,Tabelle1!$A$2:$M$496,13,0))</f>
        <v/>
      </c>
      <c r="F84" s="56"/>
      <c r="G84" s="57"/>
      <c r="H84" s="57"/>
      <c r="I84" s="57"/>
      <c r="J84" s="57"/>
      <c r="K84" s="57" t="str">
        <f t="shared" si="8"/>
        <v/>
      </c>
      <c r="L84" s="57" t="str">
        <f>IF(K84="","",VLOOKUP(F84,Tabelle1!$A$2:$I$496,9,0))</f>
        <v/>
      </c>
      <c r="M84" s="57" t="str">
        <f>IF(K84="","",VLOOKUP(F84,Tabelle1!$A$2:$G$496,7,0))</f>
        <v/>
      </c>
      <c r="N84" s="66" t="str">
        <f t="shared" si="9"/>
        <v/>
      </c>
      <c r="O84" s="66" t="str">
        <f>IF(K84="","",((K84*VLOOKUP(F84,Tabelle1!$A$2:$I$496,8,0))/$W$4))</f>
        <v/>
      </c>
      <c r="P84" s="76" t="str">
        <f>IF(K84="","",VLOOKUP(F84,Tabelle1!$A$2:$L$496,12,0))</f>
        <v/>
      </c>
    </row>
    <row r="85" spans="1:16">
      <c r="A85" s="67"/>
      <c r="B85" s="55"/>
      <c r="C85" s="55"/>
      <c r="D85" s="57" t="str">
        <f>IF(K85="","",VLOOKUP(F85,Tabelle1!$A$2:$C$496,3,0))</f>
        <v/>
      </c>
      <c r="E85" s="57" t="str">
        <f>IF(K85="","",VLOOKUP(F85,Tabelle1!$A$2:$M$496,13,0))</f>
        <v/>
      </c>
      <c r="F85" s="56"/>
      <c r="G85" s="57"/>
      <c r="H85" s="57"/>
      <c r="I85" s="57"/>
      <c r="J85" s="57"/>
      <c r="K85" s="57" t="str">
        <f t="shared" si="8"/>
        <v/>
      </c>
      <c r="L85" s="57" t="str">
        <f>IF(K85="","",VLOOKUP(F85,Tabelle1!$A$2:$I$496,9,0))</f>
        <v/>
      </c>
      <c r="M85" s="57" t="str">
        <f>IF(K85="","",VLOOKUP(F85,Tabelle1!$A$2:$G$496,7,0))</f>
        <v/>
      </c>
      <c r="N85" s="66" t="str">
        <f t="shared" si="9"/>
        <v/>
      </c>
      <c r="O85" s="66" t="str">
        <f>IF(K85="","",((K85*VLOOKUP(F85,Tabelle1!$A$2:$I$496,8,0))/$W$4))</f>
        <v/>
      </c>
      <c r="P85" s="76" t="str">
        <f>IF(K85="","",VLOOKUP(F85,Tabelle1!$A$2:$L$496,12,0))</f>
        <v/>
      </c>
    </row>
    <row r="86" spans="1:16">
      <c r="A86" s="67"/>
      <c r="B86" s="55"/>
      <c r="C86" s="55"/>
      <c r="D86" s="57" t="str">
        <f>IF(K86="","",VLOOKUP(F86,Tabelle1!$A$2:$C$496,3,0))</f>
        <v/>
      </c>
      <c r="E86" s="57" t="str">
        <f>IF(K86="","",VLOOKUP(F86,Tabelle1!$A$2:$M$496,13,0))</f>
        <v/>
      </c>
      <c r="F86" s="56"/>
      <c r="G86" s="57"/>
      <c r="H86" s="57"/>
      <c r="I86" s="57"/>
      <c r="J86" s="57"/>
      <c r="K86" s="57" t="str">
        <f t="shared" si="8"/>
        <v/>
      </c>
      <c r="L86" s="57" t="str">
        <f>IF(K86="","",VLOOKUP(F86,Tabelle1!$A$2:$I$496,9,0))</f>
        <v/>
      </c>
      <c r="M86" s="57" t="str">
        <f>IF(K86="","",VLOOKUP(F86,Tabelle1!$A$2:$G$496,7,0))</f>
        <v/>
      </c>
      <c r="N86" s="66" t="str">
        <f t="shared" si="9"/>
        <v/>
      </c>
      <c r="O86" s="66" t="str">
        <f>IF(K86="","",((K86*VLOOKUP(F86,Tabelle1!$A$2:$I$496,8,0))/$W$4))</f>
        <v/>
      </c>
      <c r="P86" s="76" t="str">
        <f>IF(K86="","",VLOOKUP(F86,Tabelle1!$A$2:$L$496,12,0))</f>
        <v/>
      </c>
    </row>
    <row r="87" spans="1:16">
      <c r="A87" s="67"/>
      <c r="B87" s="55"/>
      <c r="C87" s="55"/>
      <c r="D87" s="57" t="str">
        <f>IF(K87="","",VLOOKUP(F87,Tabelle1!$A$2:$C$496,3,0))</f>
        <v/>
      </c>
      <c r="E87" s="57" t="str">
        <f>IF(K87="","",VLOOKUP(F87,Tabelle1!$A$2:$M$496,13,0))</f>
        <v/>
      </c>
      <c r="F87" s="56"/>
      <c r="G87" s="57"/>
      <c r="H87" s="57"/>
      <c r="I87" s="57"/>
      <c r="J87" s="57"/>
      <c r="K87" s="57" t="str">
        <f t="shared" si="8"/>
        <v/>
      </c>
      <c r="L87" s="57" t="str">
        <f>IF(K87="","",VLOOKUP(F87,Tabelle1!$A$2:$I$496,9,0))</f>
        <v/>
      </c>
      <c r="M87" s="57" t="str">
        <f>IF(K87="","",VLOOKUP(F87,Tabelle1!$A$2:$G$496,7,0))</f>
        <v/>
      </c>
      <c r="N87" s="66" t="str">
        <f t="shared" si="9"/>
        <v/>
      </c>
      <c r="O87" s="66" t="str">
        <f>IF(K87="","",((K87*VLOOKUP(F87,Tabelle1!$A$2:$I$496,8,0))/$W$4))</f>
        <v/>
      </c>
      <c r="P87" s="76" t="str">
        <f>IF(K87="","",VLOOKUP(F87,Tabelle1!$A$2:$L$496,12,0))</f>
        <v/>
      </c>
    </row>
    <row r="88" spans="1:16">
      <c r="A88" s="67"/>
      <c r="B88" s="55"/>
      <c r="C88" s="55"/>
      <c r="D88" s="57" t="str">
        <f>IF(K88="","",VLOOKUP(F88,Tabelle1!$A$2:$C$496,3,0))</f>
        <v/>
      </c>
      <c r="E88" s="57" t="str">
        <f>IF(K88="","",VLOOKUP(F88,Tabelle1!$A$2:$M$496,13,0))</f>
        <v/>
      </c>
      <c r="F88" s="56"/>
      <c r="G88" s="57"/>
      <c r="H88" s="57"/>
      <c r="I88" s="57"/>
      <c r="J88" s="57"/>
      <c r="K88" s="57" t="str">
        <f t="shared" si="8"/>
        <v/>
      </c>
      <c r="L88" s="57" t="str">
        <f>IF(K88="","",VLOOKUP(F88,Tabelle1!$A$2:$I$496,9,0))</f>
        <v/>
      </c>
      <c r="M88" s="57" t="str">
        <f>IF(K88="","",VLOOKUP(F88,Tabelle1!$A$2:$G$496,7,0))</f>
        <v/>
      </c>
      <c r="N88" s="66" t="str">
        <f t="shared" si="9"/>
        <v/>
      </c>
      <c r="O88" s="66" t="str">
        <f>IF(K88="","",((K88*VLOOKUP(F88,Tabelle1!$A$2:$I$496,8,0))/$W$4))</f>
        <v/>
      </c>
      <c r="P88" s="76" t="str">
        <f>IF(K88="","",VLOOKUP(F88,Tabelle1!$A$2:$L$496,12,0))</f>
        <v/>
      </c>
    </row>
    <row r="89" spans="1:16">
      <c r="A89" s="67"/>
      <c r="B89" s="55"/>
      <c r="C89" s="55"/>
      <c r="D89" s="57" t="str">
        <f>IF(K89="","",VLOOKUP(F89,Tabelle1!$A$2:$C$496,3,0))</f>
        <v/>
      </c>
      <c r="E89" s="57" t="str">
        <f>IF(K89="","",VLOOKUP(F89,Tabelle1!$A$2:$M$496,13,0))</f>
        <v/>
      </c>
      <c r="F89" s="56"/>
      <c r="G89" s="57"/>
      <c r="H89" s="57"/>
      <c r="I89" s="57"/>
      <c r="J89" s="57"/>
      <c r="K89" s="57" t="str">
        <f t="shared" si="8"/>
        <v/>
      </c>
      <c r="L89" s="57" t="str">
        <f>IF(K89="","",VLOOKUP(F89,Tabelle1!$A$2:$I$496,9,0))</f>
        <v/>
      </c>
      <c r="M89" s="57" t="str">
        <f>IF(K89="","",VLOOKUP(F89,Tabelle1!$A$2:$G$496,7,0))</f>
        <v/>
      </c>
      <c r="N89" s="66" t="str">
        <f t="shared" si="9"/>
        <v/>
      </c>
      <c r="O89" s="66" t="str">
        <f>IF(K89="","",((K89*VLOOKUP(F89,Tabelle1!$A$2:$I$496,8,0))/$W$4))</f>
        <v/>
      </c>
      <c r="P89" s="76" t="str">
        <f>IF(K89="","",VLOOKUP(F89,Tabelle1!$A$2:$L$496,12,0))</f>
        <v/>
      </c>
    </row>
    <row r="90" spans="1:16">
      <c r="A90" s="67"/>
      <c r="B90" s="55"/>
      <c r="C90" s="55"/>
      <c r="D90" s="57" t="str">
        <f>IF(K90="","",VLOOKUP(F90,Tabelle1!$A$2:$C$496,3,0))</f>
        <v/>
      </c>
      <c r="E90" s="57" t="str">
        <f>IF(K90="","",VLOOKUP(F90,Tabelle1!$A$2:$M$496,13,0))</f>
        <v/>
      </c>
      <c r="F90" s="56"/>
      <c r="G90" s="57"/>
      <c r="H90" s="57"/>
      <c r="I90" s="57"/>
      <c r="J90" s="57"/>
      <c r="K90" s="57" t="str">
        <f t="shared" si="8"/>
        <v/>
      </c>
      <c r="L90" s="57" t="str">
        <f>IF(K90="","",VLOOKUP(F90,Tabelle1!$A$2:$I$496,9,0))</f>
        <v/>
      </c>
      <c r="M90" s="57" t="str">
        <f>IF(K90="","",VLOOKUP(F90,Tabelle1!$A$2:$G$496,7,0))</f>
        <v/>
      </c>
      <c r="N90" s="66" t="str">
        <f t="shared" si="9"/>
        <v/>
      </c>
      <c r="O90" s="66" t="str">
        <f>IF(K90="","",((K90*VLOOKUP(F90,Tabelle1!$A$2:$I$496,8,0))/$W$4))</f>
        <v/>
      </c>
      <c r="P90" s="76" t="str">
        <f>IF(K90="","",VLOOKUP(F90,Tabelle1!$A$2:$L$496,12,0))</f>
        <v/>
      </c>
    </row>
    <row r="91" spans="1:16">
      <c r="A91" s="67"/>
      <c r="B91" s="55"/>
      <c r="C91" s="55"/>
      <c r="D91" s="57" t="str">
        <f>IF(K91="","",VLOOKUP(F91,Tabelle1!$A$2:$C$496,3,0))</f>
        <v/>
      </c>
      <c r="E91" s="57" t="str">
        <f>IF(K91="","",VLOOKUP(F91,Tabelle1!$A$2:$M$496,13,0))</f>
        <v/>
      </c>
      <c r="F91" s="56"/>
      <c r="G91" s="57"/>
      <c r="H91" s="57"/>
      <c r="I91" s="57"/>
      <c r="J91" s="57"/>
      <c r="K91" s="57" t="str">
        <f t="shared" si="8"/>
        <v/>
      </c>
      <c r="L91" s="57" t="str">
        <f>IF(K91="","",VLOOKUP(F91,Tabelle1!$A$2:$I$496,9,0))</f>
        <v/>
      </c>
      <c r="M91" s="57" t="str">
        <f>IF(K91="","",VLOOKUP(F91,Tabelle1!$A$2:$G$496,7,0))</f>
        <v/>
      </c>
      <c r="N91" s="66" t="str">
        <f t="shared" si="9"/>
        <v/>
      </c>
      <c r="O91" s="66" t="str">
        <f>IF(K91="","",((K91*VLOOKUP(F91,Tabelle1!$A$2:$I$496,8,0))/$W$4))</f>
        <v/>
      </c>
      <c r="P91" s="76" t="str">
        <f>IF(K91="","",VLOOKUP(F91,Tabelle1!$A$2:$L$496,12,0))</f>
        <v/>
      </c>
    </row>
    <row r="92" spans="1:16">
      <c r="A92" s="67"/>
      <c r="B92" s="55"/>
      <c r="C92" s="55"/>
      <c r="D92" s="57" t="str">
        <f>IF(K92="","",VLOOKUP(F92,Tabelle1!$A$2:$C$496,3,0))</f>
        <v/>
      </c>
      <c r="E92" s="57" t="str">
        <f>IF(K92="","",VLOOKUP(F92,Tabelle1!$A$2:$M$496,13,0))</f>
        <v/>
      </c>
      <c r="F92" s="56"/>
      <c r="G92" s="57"/>
      <c r="H92" s="57"/>
      <c r="I92" s="57"/>
      <c r="J92" s="57"/>
      <c r="K92" s="57" t="str">
        <f t="shared" si="8"/>
        <v/>
      </c>
      <c r="L92" s="57" t="str">
        <f>IF(K92="","",VLOOKUP(F92,Tabelle1!$A$2:$I$496,9,0))</f>
        <v/>
      </c>
      <c r="M92" s="57" t="str">
        <f>IF(K92="","",VLOOKUP(F92,Tabelle1!$A$2:$G$496,7,0))</f>
        <v/>
      </c>
      <c r="N92" s="66" t="str">
        <f t="shared" si="9"/>
        <v/>
      </c>
      <c r="O92" s="66" t="str">
        <f>IF(K92="","",((K92*VLOOKUP(F92,Tabelle1!$A$2:$I$496,8,0))/$W$4))</f>
        <v/>
      </c>
      <c r="P92" s="76" t="str">
        <f>IF(K92="","",VLOOKUP(F92,Tabelle1!$A$2:$L$496,12,0))</f>
        <v/>
      </c>
    </row>
    <row r="93" spans="1:16">
      <c r="A93" s="67"/>
      <c r="B93" s="55"/>
      <c r="C93" s="55"/>
      <c r="D93" s="57" t="str">
        <f>IF(K93="","",VLOOKUP(F93,Tabelle1!$A$2:$C$496,3,0))</f>
        <v/>
      </c>
      <c r="E93" s="57" t="str">
        <f>IF(K93="","",VLOOKUP(F93,Tabelle1!$A$2:$M$496,13,0))</f>
        <v/>
      </c>
      <c r="F93" s="56"/>
      <c r="G93" s="57"/>
      <c r="H93" s="57"/>
      <c r="I93" s="57"/>
      <c r="J93" s="57"/>
      <c r="K93" s="57" t="str">
        <f t="shared" si="8"/>
        <v/>
      </c>
      <c r="L93" s="57" t="str">
        <f>IF(K93="","",VLOOKUP(F93,Tabelle1!$A$2:$I$496,9,0))</f>
        <v/>
      </c>
      <c r="M93" s="57" t="str">
        <f>IF(K93="","",VLOOKUP(F93,Tabelle1!$A$2:$G$496,7,0))</f>
        <v/>
      </c>
      <c r="N93" s="66" t="str">
        <f t="shared" si="9"/>
        <v/>
      </c>
      <c r="O93" s="66" t="str">
        <f>IF(K93="","",((K93*VLOOKUP(F93,Tabelle1!$A$2:$I$496,8,0))/$W$4))</f>
        <v/>
      </c>
      <c r="P93" s="76" t="str">
        <f>IF(K93="","",VLOOKUP(F93,Tabelle1!$A$2:$L$496,12,0))</f>
        <v/>
      </c>
    </row>
    <row r="94" spans="1:16">
      <c r="A94" s="67"/>
      <c r="B94" s="55"/>
      <c r="C94" s="55"/>
      <c r="D94" s="57" t="str">
        <f>IF(K94="","",VLOOKUP(F94,Tabelle1!$A$2:$C$496,3,0))</f>
        <v/>
      </c>
      <c r="E94" s="57" t="str">
        <f>IF(K94="","",VLOOKUP(F94,Tabelle1!$A$2:$M$496,13,0))</f>
        <v/>
      </c>
      <c r="F94" s="56"/>
      <c r="G94" s="57"/>
      <c r="H94" s="57"/>
      <c r="I94" s="57"/>
      <c r="J94" s="57"/>
      <c r="K94" s="57" t="str">
        <f t="shared" si="8"/>
        <v/>
      </c>
      <c r="L94" s="57" t="str">
        <f>IF(K94="","",VLOOKUP(F94,Tabelle1!$A$2:$I$496,9,0))</f>
        <v/>
      </c>
      <c r="M94" s="57" t="str">
        <f>IF(K94="","",VLOOKUP(F94,Tabelle1!$A$2:$G$496,7,0))</f>
        <v/>
      </c>
      <c r="N94" s="66" t="str">
        <f t="shared" si="9"/>
        <v/>
      </c>
      <c r="O94" s="66" t="str">
        <f>IF(K94="","",((K94*VLOOKUP(F94,Tabelle1!$A$2:$I$496,8,0))/$W$4))</f>
        <v/>
      </c>
      <c r="P94" s="76" t="str">
        <f>IF(K94="","",VLOOKUP(F94,Tabelle1!$A$2:$L$496,12,0))</f>
        <v/>
      </c>
    </row>
    <row r="95" spans="1:16">
      <c r="A95" s="67"/>
      <c r="B95" s="55"/>
      <c r="C95" s="55"/>
      <c r="D95" s="57" t="str">
        <f>IF(K95="","",VLOOKUP(F95,Tabelle1!$A$2:$C$496,3,0))</f>
        <v/>
      </c>
      <c r="E95" s="57" t="str">
        <f>IF(K95="","",VLOOKUP(F95,Tabelle1!$A$2:$M$496,13,0))</f>
        <v/>
      </c>
      <c r="F95" s="56"/>
      <c r="G95" s="57"/>
      <c r="H95" s="57"/>
      <c r="I95" s="57"/>
      <c r="J95" s="57"/>
      <c r="K95" s="57" t="str">
        <f t="shared" si="8"/>
        <v/>
      </c>
      <c r="L95" s="57" t="str">
        <f>IF(K95="","",VLOOKUP(F95,Tabelle1!$A$2:$I$496,9,0))</f>
        <v/>
      </c>
      <c r="M95" s="57" t="str">
        <f>IF(K95="","",VLOOKUP(F95,Tabelle1!$A$2:$G$496,7,0))</f>
        <v/>
      </c>
      <c r="N95" s="66" t="str">
        <f t="shared" si="9"/>
        <v/>
      </c>
      <c r="O95" s="66" t="str">
        <f>IF(K95="","",((K95*VLOOKUP(F95,Tabelle1!$A$2:$I$496,8,0))/$W$4))</f>
        <v/>
      </c>
      <c r="P95" s="76" t="str">
        <f>IF(K95="","",VLOOKUP(F95,Tabelle1!$A$2:$L$496,12,0))</f>
        <v/>
      </c>
    </row>
    <row r="96" spans="1:16">
      <c r="A96" s="67"/>
      <c r="B96" s="55"/>
      <c r="C96" s="55"/>
      <c r="D96" s="57" t="str">
        <f>IF(K96="","",VLOOKUP(F96,Tabelle1!$A$2:$C$496,3,0))</f>
        <v/>
      </c>
      <c r="E96" s="57" t="str">
        <f>IF(K96="","",VLOOKUP(F96,Tabelle1!$A$2:$M$496,13,0))</f>
        <v/>
      </c>
      <c r="F96" s="56"/>
      <c r="G96" s="57"/>
      <c r="H96" s="57"/>
      <c r="I96" s="57"/>
      <c r="J96" s="57"/>
      <c r="K96" s="57" t="str">
        <f t="shared" si="8"/>
        <v/>
      </c>
      <c r="L96" s="57" t="str">
        <f>IF(K96="","",VLOOKUP(F96,Tabelle1!$A$2:$I$496,9,0))</f>
        <v/>
      </c>
      <c r="M96" s="57" t="str">
        <f>IF(K96="","",VLOOKUP(F96,Tabelle1!$A$2:$G$496,7,0))</f>
        <v/>
      </c>
      <c r="N96" s="66" t="str">
        <f t="shared" si="9"/>
        <v/>
      </c>
      <c r="O96" s="66" t="str">
        <f>IF(K96="","",((K96*VLOOKUP(F96,Tabelle1!$A$2:$I$496,8,0))/$W$4))</f>
        <v/>
      </c>
      <c r="P96" s="76" t="str">
        <f>IF(K96="","",VLOOKUP(F96,Tabelle1!$A$2:$L$496,12,0))</f>
        <v/>
      </c>
    </row>
    <row r="97" spans="1:16">
      <c r="A97" s="67"/>
      <c r="B97" s="55"/>
      <c r="C97" s="55"/>
      <c r="D97" s="57" t="str">
        <f>IF(K97="","",VLOOKUP(F97,Tabelle1!$A$2:$C$496,3,0))</f>
        <v/>
      </c>
      <c r="E97" s="57" t="str">
        <f>IF(K97="","",VLOOKUP(F97,Tabelle1!$A$2:$M$496,13,0))</f>
        <v/>
      </c>
      <c r="F97" s="56"/>
      <c r="G97" s="57"/>
      <c r="H97" s="57"/>
      <c r="I97" s="57"/>
      <c r="J97" s="57"/>
      <c r="K97" s="57" t="str">
        <f t="shared" si="8"/>
        <v/>
      </c>
      <c r="L97" s="57" t="str">
        <f>IF(K97="","",VLOOKUP(F97,Tabelle1!$A$2:$I$496,9,0))</f>
        <v/>
      </c>
      <c r="M97" s="57" t="str">
        <f>IF(K97="","",VLOOKUP(F97,Tabelle1!$A$2:$G$496,7,0))</f>
        <v/>
      </c>
      <c r="N97" s="66" t="str">
        <f t="shared" si="9"/>
        <v/>
      </c>
      <c r="O97" s="66" t="str">
        <f>IF(K97="","",((K97*VLOOKUP(F97,Tabelle1!$A$2:$I$496,8,0))/$W$4))</f>
        <v/>
      </c>
      <c r="P97" s="76" t="str">
        <f>IF(K97="","",VLOOKUP(F97,Tabelle1!$A$2:$L$496,12,0))</f>
        <v/>
      </c>
    </row>
    <row r="98" spans="1:16">
      <c r="A98" s="67"/>
      <c r="B98" s="55"/>
      <c r="C98" s="55"/>
      <c r="D98" s="57" t="str">
        <f>IF(K98="","",VLOOKUP(F98,Tabelle1!$A$2:$C$496,3,0))</f>
        <v/>
      </c>
      <c r="E98" s="57" t="str">
        <f>IF(K98="","",VLOOKUP(F98,Tabelle1!$A$2:$M$496,13,0))</f>
        <v/>
      </c>
      <c r="F98" s="56"/>
      <c r="G98" s="57"/>
      <c r="H98" s="57"/>
      <c r="I98" s="57"/>
      <c r="J98" s="57"/>
      <c r="K98" s="57" t="str">
        <f t="shared" si="8"/>
        <v/>
      </c>
      <c r="L98" s="57" t="str">
        <f>IF(K98="","",VLOOKUP(F98,Tabelle1!$A$2:$I$496,9,0))</f>
        <v/>
      </c>
      <c r="M98" s="57" t="str">
        <f>IF(K98="","",VLOOKUP(F98,Tabelle1!$A$2:$G$496,7,0))</f>
        <v/>
      </c>
      <c r="N98" s="66" t="str">
        <f t="shared" si="9"/>
        <v/>
      </c>
      <c r="O98" s="66" t="str">
        <f>IF(K98="","",((K98*VLOOKUP(F98,Tabelle1!$A$2:$I$496,8,0))/$W$4))</f>
        <v/>
      </c>
      <c r="P98" s="76" t="str">
        <f>IF(K98="","",VLOOKUP(F98,Tabelle1!$A$2:$L$496,12,0))</f>
        <v/>
      </c>
    </row>
    <row r="99" spans="1:16">
      <c r="A99" s="67"/>
      <c r="B99" s="55"/>
      <c r="C99" s="55"/>
      <c r="D99" s="57" t="str">
        <f>IF(K99="","",VLOOKUP(F99,Tabelle1!$A$2:$C$496,3,0))</f>
        <v/>
      </c>
      <c r="E99" s="57" t="str">
        <f>IF(K99="","",VLOOKUP(F99,Tabelle1!$A$2:$M$496,13,0))</f>
        <v/>
      </c>
      <c r="F99" s="56"/>
      <c r="G99" s="57"/>
      <c r="H99" s="57"/>
      <c r="I99" s="57"/>
      <c r="J99" s="57"/>
      <c r="K99" s="57" t="str">
        <f t="shared" si="8"/>
        <v/>
      </c>
      <c r="L99" s="57" t="str">
        <f>IF(K99="","",VLOOKUP(F99,Tabelle1!$A$2:$I$496,9,0))</f>
        <v/>
      </c>
      <c r="M99" s="57" t="str">
        <f>IF(K99="","",VLOOKUP(F99,Tabelle1!$A$2:$G$496,7,0))</f>
        <v/>
      </c>
      <c r="N99" s="66" t="str">
        <f t="shared" si="9"/>
        <v/>
      </c>
      <c r="O99" s="66" t="str">
        <f>IF(K99="","",((K99*VLOOKUP(F99,Tabelle1!$A$2:$I$496,8,0))/$W$4))</f>
        <v/>
      </c>
      <c r="P99" s="76" t="str">
        <f>IF(K99="","",VLOOKUP(F99,Tabelle1!$A$2:$L$496,12,0))</f>
        <v/>
      </c>
    </row>
    <row r="100" spans="1:16">
      <c r="A100" s="67"/>
      <c r="B100" s="55"/>
      <c r="C100" s="55"/>
      <c r="D100" s="57" t="str">
        <f>IF(K100="","",VLOOKUP(F100,Tabelle1!$A$2:$C$496,3,0))</f>
        <v/>
      </c>
      <c r="E100" s="57" t="str">
        <f>IF(K100="","",VLOOKUP(F100,Tabelle1!$A$2:$M$496,13,0))</f>
        <v/>
      </c>
      <c r="F100" s="56"/>
      <c r="G100" s="57"/>
      <c r="H100" s="57"/>
      <c r="I100" s="57"/>
      <c r="J100" s="57"/>
      <c r="K100" s="57" t="str">
        <f t="shared" si="8"/>
        <v/>
      </c>
      <c r="L100" s="57" t="str">
        <f>IF(K100="","",VLOOKUP(F100,Tabelle1!$A$2:$I$496,9,0))</f>
        <v/>
      </c>
      <c r="M100" s="57" t="str">
        <f>IF(K100="","",VLOOKUP(F100,Tabelle1!$A$2:$G$496,7,0))</f>
        <v/>
      </c>
      <c r="N100" s="66" t="str">
        <f t="shared" si="9"/>
        <v/>
      </c>
      <c r="O100" s="66" t="str">
        <f>IF(K100="","",((K100*VLOOKUP(F100,Tabelle1!$A$2:$I$496,8,0))/$W$4))</f>
        <v/>
      </c>
      <c r="P100" s="76" t="str">
        <f>IF(K100="","",VLOOKUP(F100,Tabelle1!$A$2:$L$496,12,0))</f>
        <v/>
      </c>
    </row>
    <row r="101" spans="1:16">
      <c r="A101" s="67"/>
      <c r="B101" s="55"/>
      <c r="C101" s="55"/>
      <c r="D101" s="57" t="str">
        <f>IF(K101="","",VLOOKUP(F101,Tabelle1!$A$2:$C$496,3,0))</f>
        <v/>
      </c>
      <c r="E101" s="57" t="str">
        <f>IF(K101="","",VLOOKUP(F101,Tabelle1!$A$2:$M$496,13,0))</f>
        <v/>
      </c>
      <c r="F101" s="56"/>
      <c r="G101" s="57"/>
      <c r="H101" s="57"/>
      <c r="I101" s="57"/>
      <c r="J101" s="57"/>
      <c r="K101" s="57" t="str">
        <f t="shared" si="8"/>
        <v/>
      </c>
      <c r="L101" s="57" t="str">
        <f>IF(K101="","",VLOOKUP(F101,Tabelle1!$A$2:$I$496,9,0))</f>
        <v/>
      </c>
      <c r="M101" s="57" t="str">
        <f>IF(K101="","",VLOOKUP(F101,Tabelle1!$A$2:$G$496,7,0))</f>
        <v/>
      </c>
      <c r="N101" s="66" t="str">
        <f t="shared" si="9"/>
        <v/>
      </c>
      <c r="O101" s="66" t="str">
        <f>IF(K101="","",((K101*VLOOKUP(F101,Tabelle1!$A$2:$I$496,8,0))/$W$4))</f>
        <v/>
      </c>
      <c r="P101" s="76" t="str">
        <f>IF(K101="","",VLOOKUP(F101,Tabelle1!$A$2:$L$496,12,0))</f>
        <v/>
      </c>
    </row>
    <row r="102" spans="1:16">
      <c r="A102" s="67"/>
      <c r="B102" s="55"/>
      <c r="C102" s="55"/>
      <c r="D102" s="57" t="str">
        <f>IF(K102="","",VLOOKUP(F102,Tabelle1!$A$2:$C$496,3,0))</f>
        <v/>
      </c>
      <c r="E102" s="57" t="str">
        <f>IF(K102="","",VLOOKUP(F102,Tabelle1!$A$2:$M$496,13,0))</f>
        <v/>
      </c>
      <c r="F102" s="56"/>
      <c r="G102" s="57"/>
      <c r="H102" s="57"/>
      <c r="I102" s="57"/>
      <c r="J102" s="57"/>
      <c r="K102" s="57" t="str">
        <f t="shared" si="8"/>
        <v/>
      </c>
      <c r="L102" s="57" t="str">
        <f>IF(K102="","",VLOOKUP(F102,Tabelle1!$A$2:$I$496,9,0))</f>
        <v/>
      </c>
      <c r="M102" s="57" t="str">
        <f>IF(K102="","",VLOOKUP(F102,Tabelle1!$A$2:$G$496,7,0))</f>
        <v/>
      </c>
      <c r="N102" s="66" t="str">
        <f t="shared" si="9"/>
        <v/>
      </c>
      <c r="O102" s="66" t="str">
        <f>IF(K102="","",((K102*VLOOKUP(F102,Tabelle1!$A$2:$I$496,8,0))/$W$4))</f>
        <v/>
      </c>
      <c r="P102" s="76" t="str">
        <f>IF(K102="","",VLOOKUP(F102,Tabelle1!$A$2:$L$496,12,0))</f>
        <v/>
      </c>
    </row>
    <row r="103" spans="1:16">
      <c r="A103" s="67"/>
      <c r="B103" s="55"/>
      <c r="C103" s="55"/>
      <c r="D103" s="57" t="str">
        <f>IF(K103="","",VLOOKUP(F103,Tabelle1!$A$2:$C$496,3,0))</f>
        <v/>
      </c>
      <c r="E103" s="57" t="str">
        <f>IF(K103="","",VLOOKUP(F103,Tabelle1!$A$2:$M$496,13,0))</f>
        <v/>
      </c>
      <c r="F103" s="56"/>
      <c r="G103" s="57"/>
      <c r="H103" s="57"/>
      <c r="I103" s="57"/>
      <c r="J103" s="57"/>
      <c r="K103" s="57" t="str">
        <f t="shared" si="8"/>
        <v/>
      </c>
      <c r="L103" s="57" t="str">
        <f>IF(K103="","",VLOOKUP(F103,Tabelle1!$A$2:$I$496,9,0))</f>
        <v/>
      </c>
      <c r="M103" s="57" t="str">
        <f>IF(K103="","",VLOOKUP(F103,Tabelle1!$A$2:$G$496,7,0))</f>
        <v/>
      </c>
      <c r="N103" s="66" t="str">
        <f t="shared" si="9"/>
        <v/>
      </c>
      <c r="O103" s="66" t="str">
        <f>IF(K103="","",((K103*VLOOKUP(F103,Tabelle1!$A$2:$I$496,8,0))/$W$4))</f>
        <v/>
      </c>
      <c r="P103" s="76" t="str">
        <f>IF(K103="","",VLOOKUP(F103,Tabelle1!$A$2:$L$496,12,0))</f>
        <v/>
      </c>
    </row>
    <row r="104" spans="1:16">
      <c r="A104" s="67"/>
      <c r="B104" s="55"/>
      <c r="C104" s="55"/>
      <c r="D104" s="57" t="str">
        <f>IF(K104="","",VLOOKUP(F104,Tabelle1!$A$2:$C$496,3,0))</f>
        <v/>
      </c>
      <c r="E104" s="57" t="str">
        <f>IF(K104="","",VLOOKUP(F104,Tabelle1!$A$2:$M$496,13,0))</f>
        <v/>
      </c>
      <c r="F104" s="56"/>
      <c r="G104" s="57"/>
      <c r="H104" s="57"/>
      <c r="I104" s="57"/>
      <c r="J104" s="57"/>
      <c r="K104" s="57" t="str">
        <f t="shared" si="8"/>
        <v/>
      </c>
      <c r="L104" s="57" t="str">
        <f>IF(K104="","",VLOOKUP(F104,Tabelle1!$A$2:$I$496,9,0))</f>
        <v/>
      </c>
      <c r="M104" s="57" t="str">
        <f>IF(K104="","",VLOOKUP(F104,Tabelle1!$A$2:$G$496,7,0))</f>
        <v/>
      </c>
      <c r="N104" s="66" t="str">
        <f t="shared" si="9"/>
        <v/>
      </c>
      <c r="O104" s="66" t="str">
        <f>IF(K104="","",((K104*VLOOKUP(F104,Tabelle1!$A$2:$I$496,8,0))/$W$4))</f>
        <v/>
      </c>
      <c r="P104" s="76" t="str">
        <f>IF(K104="","",VLOOKUP(F104,Tabelle1!$A$2:$L$496,12,0))</f>
        <v/>
      </c>
    </row>
    <row r="105" spans="1:16">
      <c r="A105" s="67"/>
      <c r="B105" s="55"/>
      <c r="C105" s="55"/>
      <c r="D105" s="57" t="str">
        <f>IF(K105="","",VLOOKUP(F105,Tabelle1!$A$2:$C$496,3,0))</f>
        <v/>
      </c>
      <c r="E105" s="57" t="str">
        <f>IF(K105="","",VLOOKUP(F105,Tabelle1!$A$2:$M$496,13,0))</f>
        <v/>
      </c>
      <c r="F105" s="56"/>
      <c r="G105" s="57"/>
      <c r="H105" s="57"/>
      <c r="I105" s="57"/>
      <c r="J105" s="57"/>
      <c r="K105" s="57" t="str">
        <f t="shared" si="8"/>
        <v/>
      </c>
      <c r="L105" s="57" t="str">
        <f>IF(K105="","",VLOOKUP(F105,Tabelle1!$A$2:$I$496,9,0))</f>
        <v/>
      </c>
      <c r="M105" s="57" t="str">
        <f>IF(K105="","",VLOOKUP(F105,Tabelle1!$A$2:$G$496,7,0))</f>
        <v/>
      </c>
      <c r="N105" s="66" t="str">
        <f t="shared" si="9"/>
        <v/>
      </c>
      <c r="O105" s="66" t="str">
        <f>IF(K105="","",((K105*VLOOKUP(F105,Tabelle1!$A$2:$I$496,8,0))/$W$4))</f>
        <v/>
      </c>
      <c r="P105" s="76" t="str">
        <f>IF(K105="","",VLOOKUP(F105,Tabelle1!$A$2:$L$496,12,0))</f>
        <v/>
      </c>
    </row>
    <row r="106" spans="1:16">
      <c r="A106" s="67"/>
      <c r="B106" s="55"/>
      <c r="C106" s="55"/>
      <c r="D106" s="57" t="str">
        <f>IF(K106="","",VLOOKUP(F106,Tabelle1!$A$2:$C$496,3,0))</f>
        <v/>
      </c>
      <c r="E106" s="57" t="str">
        <f>IF(K106="","",VLOOKUP(F106,Tabelle1!$A$2:$M$496,13,0))</f>
        <v/>
      </c>
      <c r="F106" s="56"/>
      <c r="G106" s="57"/>
      <c r="H106" s="57"/>
      <c r="I106" s="57"/>
      <c r="J106" s="57"/>
      <c r="K106" s="57" t="str">
        <f t="shared" si="8"/>
        <v/>
      </c>
      <c r="L106" s="57" t="str">
        <f>IF(K106="","",VLOOKUP(F106,Tabelle1!$A$2:$I$496,9,0))</f>
        <v/>
      </c>
      <c r="M106" s="57" t="str">
        <f>IF(K106="","",VLOOKUP(F106,Tabelle1!$A$2:$G$496,7,0))</f>
        <v/>
      </c>
      <c r="N106" s="66" t="str">
        <f t="shared" si="9"/>
        <v/>
      </c>
      <c r="O106" s="66" t="str">
        <f>IF(K106="","",((K106*VLOOKUP(F106,Tabelle1!$A$2:$I$496,8,0))/$W$4))</f>
        <v/>
      </c>
      <c r="P106" s="76" t="str">
        <f>IF(K106="","",VLOOKUP(F106,Tabelle1!$A$2:$L$496,12,0))</f>
        <v/>
      </c>
    </row>
    <row r="107" spans="1:16">
      <c r="A107" s="67"/>
      <c r="B107" s="55"/>
      <c r="C107" s="55"/>
      <c r="D107" s="57" t="str">
        <f>IF(K107="","",VLOOKUP(F107,Tabelle1!$A$2:$C$496,3,0))</f>
        <v/>
      </c>
      <c r="E107" s="57" t="str">
        <f>IF(K107="","",VLOOKUP(F107,Tabelle1!$A$2:$M$496,13,0))</f>
        <v/>
      </c>
      <c r="F107" s="56"/>
      <c r="G107" s="57"/>
      <c r="H107" s="57"/>
      <c r="I107" s="57"/>
      <c r="J107" s="57"/>
      <c r="K107" s="57" t="str">
        <f t="shared" si="8"/>
        <v/>
      </c>
      <c r="L107" s="57" t="str">
        <f>IF(K107="","",VLOOKUP(F107,Tabelle1!$A$2:$I$496,9,0))</f>
        <v/>
      </c>
      <c r="M107" s="57" t="str">
        <f>IF(K107="","",VLOOKUP(F107,Tabelle1!$A$2:$G$496,7,0))</f>
        <v/>
      </c>
      <c r="N107" s="66" t="str">
        <f t="shared" si="9"/>
        <v/>
      </c>
      <c r="O107" s="66" t="str">
        <f>IF(K107="","",((K107*VLOOKUP(F107,Tabelle1!$A$2:$I$496,8,0))/$W$4))</f>
        <v/>
      </c>
      <c r="P107" s="76" t="str">
        <f>IF(K107="","",VLOOKUP(F107,Tabelle1!$A$2:$L$496,12,0))</f>
        <v/>
      </c>
    </row>
    <row r="108" spans="1:16">
      <c r="A108" s="67"/>
      <c r="B108" s="55"/>
      <c r="C108" s="55"/>
      <c r="D108" s="57" t="str">
        <f>IF(K108="","",VLOOKUP(F108,Tabelle1!$A$2:$C$496,3,0))</f>
        <v/>
      </c>
      <c r="E108" s="57" t="str">
        <f>IF(K108="","",VLOOKUP(F108,Tabelle1!$A$2:$M$496,13,0))</f>
        <v/>
      </c>
      <c r="F108" s="56"/>
      <c r="G108" s="57"/>
      <c r="H108" s="57"/>
      <c r="I108" s="57"/>
      <c r="J108" s="57"/>
      <c r="K108" s="57" t="str">
        <f t="shared" si="8"/>
        <v/>
      </c>
      <c r="L108" s="57" t="str">
        <f>IF(K108="","",VLOOKUP(F108,Tabelle1!$A$2:$I$496,9,0))</f>
        <v/>
      </c>
      <c r="M108" s="57" t="str">
        <f>IF(K108="","",VLOOKUP(F108,Tabelle1!$A$2:$G$496,7,0))</f>
        <v/>
      </c>
      <c r="N108" s="66" t="str">
        <f t="shared" si="9"/>
        <v/>
      </c>
      <c r="O108" s="66" t="str">
        <f>IF(K108="","",((K108*VLOOKUP(F108,Tabelle1!$A$2:$I$496,8,0))/$W$4))</f>
        <v/>
      </c>
      <c r="P108" s="76" t="str">
        <f>IF(K108="","",VLOOKUP(F108,Tabelle1!$A$2:$L$496,12,0))</f>
        <v/>
      </c>
    </row>
    <row r="109" spans="1:16">
      <c r="A109" s="67"/>
      <c r="B109" s="55"/>
      <c r="C109" s="55"/>
      <c r="D109" s="57" t="str">
        <f>IF(K109="","",VLOOKUP(F109,Tabelle1!$A$2:$C$496,3,0))</f>
        <v/>
      </c>
      <c r="E109" s="57" t="str">
        <f>IF(K109="","",VLOOKUP(F109,Tabelle1!$A$2:$M$496,13,0))</f>
        <v/>
      </c>
      <c r="F109" s="56"/>
      <c r="G109" s="57"/>
      <c r="H109" s="57"/>
      <c r="I109" s="57"/>
      <c r="J109" s="57"/>
      <c r="K109" s="57" t="str">
        <f t="shared" si="8"/>
        <v/>
      </c>
      <c r="L109" s="57" t="str">
        <f>IF(K109="","",VLOOKUP(F109,Tabelle1!$A$2:$I$496,9,0))</f>
        <v/>
      </c>
      <c r="M109" s="57" t="str">
        <f>IF(K109="","",VLOOKUP(F109,Tabelle1!$A$2:$G$496,7,0))</f>
        <v/>
      </c>
      <c r="N109" s="66" t="str">
        <f t="shared" si="9"/>
        <v/>
      </c>
      <c r="O109" s="66" t="str">
        <f>IF(K109="","",((K109*VLOOKUP(F109,Tabelle1!$A$2:$I$496,8,0))/$W$4))</f>
        <v/>
      </c>
      <c r="P109" s="76" t="str">
        <f>IF(K109="","",VLOOKUP(F109,Tabelle1!$A$2:$L$496,12,0))</f>
        <v/>
      </c>
    </row>
    <row r="110" spans="1:16">
      <c r="A110" s="67"/>
      <c r="B110" s="55"/>
      <c r="C110" s="55"/>
      <c r="D110" s="57" t="str">
        <f>IF(K110="","",VLOOKUP(F110,Tabelle1!$A$2:$C$496,3,0))</f>
        <v/>
      </c>
      <c r="E110" s="57" t="str">
        <f>IF(K110="","",VLOOKUP(F110,Tabelle1!$A$2:$M$496,13,0))</f>
        <v/>
      </c>
      <c r="F110" s="56"/>
      <c r="G110" s="57"/>
      <c r="H110" s="57"/>
      <c r="I110" s="57"/>
      <c r="J110" s="57"/>
      <c r="K110" s="57" t="str">
        <f t="shared" si="8"/>
        <v/>
      </c>
      <c r="L110" s="57" t="str">
        <f>IF(K110="","",VLOOKUP(F110,Tabelle1!$A$2:$I$496,9,0))</f>
        <v/>
      </c>
      <c r="M110" s="57" t="str">
        <f>IF(K110="","",VLOOKUP(F110,Tabelle1!$A$2:$G$496,7,0))</f>
        <v/>
      </c>
      <c r="N110" s="66" t="str">
        <f t="shared" si="9"/>
        <v/>
      </c>
      <c r="O110" s="66" t="str">
        <f>IF(K110="","",((K110*VLOOKUP(F110,Tabelle1!$A$2:$I$496,8,0))/$W$4))</f>
        <v/>
      </c>
      <c r="P110" s="76" t="str">
        <f>IF(K110="","",VLOOKUP(F110,Tabelle1!$A$2:$L$496,12,0))</f>
        <v/>
      </c>
    </row>
    <row r="111" spans="1:16">
      <c r="A111" s="67"/>
      <c r="B111" s="55"/>
      <c r="C111" s="55"/>
      <c r="D111" s="57" t="str">
        <f>IF(K111="","",VLOOKUP(F111,Tabelle1!$A$2:$C$496,3,0))</f>
        <v/>
      </c>
      <c r="E111" s="57" t="str">
        <f>IF(K111="","",VLOOKUP(F111,Tabelle1!$A$2:$M$496,13,0))</f>
        <v/>
      </c>
      <c r="F111" s="56"/>
      <c r="G111" s="57"/>
      <c r="H111" s="57"/>
      <c r="I111" s="57"/>
      <c r="J111" s="57"/>
      <c r="K111" s="57" t="str">
        <f t="shared" si="8"/>
        <v/>
      </c>
      <c r="L111" s="57" t="str">
        <f>IF(K111="","",VLOOKUP(F111,Tabelle1!$A$2:$I$496,9,0))</f>
        <v/>
      </c>
      <c r="M111" s="57" t="str">
        <f>IF(K111="","",VLOOKUP(F111,Tabelle1!$A$2:$G$496,7,0))</f>
        <v/>
      </c>
      <c r="N111" s="66" t="str">
        <f t="shared" si="9"/>
        <v/>
      </c>
      <c r="O111" s="66" t="str">
        <f>IF(K111="","",((K111*VLOOKUP(F111,Tabelle1!$A$2:$I$496,8,0))/$W$4))</f>
        <v/>
      </c>
      <c r="P111" s="76" t="str">
        <f>IF(K111="","",VLOOKUP(F111,Tabelle1!$A$2:$L$496,12,0))</f>
        <v/>
      </c>
    </row>
    <row r="112" spans="1:16">
      <c r="A112" s="67"/>
      <c r="B112" s="55"/>
      <c r="C112" s="55"/>
      <c r="D112" s="57" t="str">
        <f>IF(K112="","",VLOOKUP(F112,Tabelle1!$A$2:$C$496,3,0))</f>
        <v/>
      </c>
      <c r="E112" s="57" t="str">
        <f>IF(K112="","",VLOOKUP(F112,Tabelle1!$A$2:$M$496,13,0))</f>
        <v/>
      </c>
      <c r="F112" s="56"/>
      <c r="G112" s="57"/>
      <c r="H112" s="57"/>
      <c r="I112" s="57"/>
      <c r="J112" s="57"/>
      <c r="K112" s="57" t="str">
        <f t="shared" si="8"/>
        <v/>
      </c>
      <c r="L112" s="57" t="str">
        <f>IF(K112="","",VLOOKUP(F112,Tabelle1!$A$2:$I$496,9,0))</f>
        <v/>
      </c>
      <c r="M112" s="57" t="str">
        <f>IF(K112="","",VLOOKUP(F112,Tabelle1!$A$2:$G$496,7,0))</f>
        <v/>
      </c>
      <c r="N112" s="66" t="str">
        <f t="shared" si="9"/>
        <v/>
      </c>
      <c r="O112" s="66" t="str">
        <f>IF(K112="","",((K112*VLOOKUP(F112,Tabelle1!$A$2:$I$496,8,0))/$W$4))</f>
        <v/>
      </c>
      <c r="P112" s="76" t="str">
        <f>IF(K112="","",VLOOKUP(F112,Tabelle1!$A$2:$L$496,12,0))</f>
        <v/>
      </c>
    </row>
    <row r="113" spans="1:16">
      <c r="A113" s="67"/>
      <c r="B113" s="55"/>
      <c r="C113" s="55"/>
      <c r="D113" s="57" t="str">
        <f>IF(K113="","",VLOOKUP(F113,Tabelle1!$A$2:$C$496,3,0))</f>
        <v/>
      </c>
      <c r="E113" s="57" t="str">
        <f>IF(K113="","",VLOOKUP(F113,Tabelle1!$A$2:$M$496,13,0))</f>
        <v/>
      </c>
      <c r="F113" s="56"/>
      <c r="G113" s="57"/>
      <c r="H113" s="57"/>
      <c r="I113" s="57"/>
      <c r="J113" s="57"/>
      <c r="K113" s="57" t="str">
        <f t="shared" si="8"/>
        <v/>
      </c>
      <c r="L113" s="57" t="str">
        <f>IF(K113="","",VLOOKUP(F113,Tabelle1!$A$2:$I$496,9,0))</f>
        <v/>
      </c>
      <c r="M113" s="57" t="str">
        <f>IF(K113="","",VLOOKUP(F113,Tabelle1!$A$2:$G$496,7,0))</f>
        <v/>
      </c>
      <c r="N113" s="66" t="str">
        <f t="shared" si="9"/>
        <v/>
      </c>
      <c r="O113" s="66" t="str">
        <f>IF(K113="","",((K113*VLOOKUP(F113,Tabelle1!$A$2:$I$496,8,0))/$W$4))</f>
        <v/>
      </c>
      <c r="P113" s="76" t="str">
        <f>IF(K113="","",VLOOKUP(F113,Tabelle1!$A$2:$L$496,12,0))</f>
        <v/>
      </c>
    </row>
    <row r="114" spans="1:16">
      <c r="A114" s="67"/>
      <c r="B114" s="55"/>
      <c r="C114" s="55"/>
      <c r="D114" s="57" t="str">
        <f>IF(K114="","",VLOOKUP(F114,Tabelle1!$A$2:$C$496,3,0))</f>
        <v/>
      </c>
      <c r="E114" s="57" t="str">
        <f>IF(K114="","",VLOOKUP(F114,Tabelle1!$A$2:$M$496,13,0))</f>
        <v/>
      </c>
      <c r="F114" s="56"/>
      <c r="G114" s="57"/>
      <c r="H114" s="57"/>
      <c r="I114" s="57"/>
      <c r="J114" s="57"/>
      <c r="K114" s="57" t="str">
        <f t="shared" si="8"/>
        <v/>
      </c>
      <c r="L114" s="57" t="str">
        <f>IF(K114="","",VLOOKUP(F114,Tabelle1!$A$2:$I$496,9,0))</f>
        <v/>
      </c>
      <c r="M114" s="57" t="str">
        <f>IF(K114="","",VLOOKUP(F114,Tabelle1!$A$2:$G$496,7,0))</f>
        <v/>
      </c>
      <c r="N114" s="66" t="str">
        <f t="shared" si="9"/>
        <v/>
      </c>
      <c r="O114" s="66" t="str">
        <f>IF(K114="","",((K114*VLOOKUP(F114,Tabelle1!$A$2:$I$496,8,0))/$W$4))</f>
        <v/>
      </c>
      <c r="P114" s="76" t="str">
        <f>IF(K114="","",VLOOKUP(F114,Tabelle1!$A$2:$L$496,12,0))</f>
        <v/>
      </c>
    </row>
    <row r="115" spans="1:16">
      <c r="A115" s="67"/>
      <c r="B115" s="55"/>
      <c r="C115" s="55"/>
      <c r="D115" s="57" t="str">
        <f>IF(K115="","",VLOOKUP(F115,Tabelle1!$A$2:$C$496,3,0))</f>
        <v/>
      </c>
      <c r="E115" s="57" t="str">
        <f>IF(K115="","",VLOOKUP(F115,Tabelle1!$A$2:$M$496,13,0))</f>
        <v/>
      </c>
      <c r="F115" s="56"/>
      <c r="G115" s="57"/>
      <c r="H115" s="57"/>
      <c r="I115" s="57"/>
      <c r="J115" s="57"/>
      <c r="K115" s="57" t="str">
        <f t="shared" si="8"/>
        <v/>
      </c>
      <c r="L115" s="57" t="str">
        <f>IF(K115="","",VLOOKUP(F115,Tabelle1!$A$2:$I$496,9,0))</f>
        <v/>
      </c>
      <c r="M115" s="57" t="str">
        <f>IF(K115="","",VLOOKUP(F115,Tabelle1!$A$2:$G$496,7,0))</f>
        <v/>
      </c>
      <c r="N115" s="66" t="str">
        <f t="shared" si="9"/>
        <v/>
      </c>
      <c r="O115" s="66" t="str">
        <f>IF(K115="","",((K115*VLOOKUP(F115,Tabelle1!$A$2:$I$496,8,0))/$W$4))</f>
        <v/>
      </c>
      <c r="P115" s="76" t="str">
        <f>IF(K115="","",VLOOKUP(F115,Tabelle1!$A$2:$L$496,12,0))</f>
        <v/>
      </c>
    </row>
    <row r="116" spans="1:16">
      <c r="A116" s="67"/>
      <c r="B116" s="55"/>
      <c r="C116" s="55"/>
      <c r="D116" s="57" t="str">
        <f>IF(K116="","",VLOOKUP(F116,Tabelle1!$A$2:$C$496,3,0))</f>
        <v/>
      </c>
      <c r="E116" s="57" t="str">
        <f>IF(K116="","",VLOOKUP(F116,Tabelle1!$A$2:$M$496,13,0))</f>
        <v/>
      </c>
      <c r="F116" s="56"/>
      <c r="G116" s="57"/>
      <c r="H116" s="57"/>
      <c r="I116" s="57"/>
      <c r="J116" s="57"/>
      <c r="K116" s="57" t="str">
        <f t="shared" si="8"/>
        <v/>
      </c>
      <c r="L116" s="57" t="str">
        <f>IF(K116="","",VLOOKUP(F116,Tabelle1!$A$2:$I$496,9,0))</f>
        <v/>
      </c>
      <c r="M116" s="57" t="str">
        <f>IF(K116="","",VLOOKUP(F116,Tabelle1!$A$2:$G$496,7,0))</f>
        <v/>
      </c>
      <c r="N116" s="66" t="str">
        <f t="shared" si="9"/>
        <v/>
      </c>
      <c r="O116" s="66" t="str">
        <f>IF(K116="","",((K116*VLOOKUP(F116,Tabelle1!$A$2:$I$496,8,0))/$W$4))</f>
        <v/>
      </c>
      <c r="P116" s="76" t="str">
        <f>IF(K116="","",VLOOKUP(F116,Tabelle1!$A$2:$L$496,12,0))</f>
        <v/>
      </c>
    </row>
    <row r="117" spans="1:16">
      <c r="A117" s="67"/>
      <c r="B117" s="55"/>
      <c r="C117" s="55"/>
      <c r="D117" s="57" t="str">
        <f>IF(K117="","",VLOOKUP(F117,Tabelle1!$A$2:$C$496,3,0))</f>
        <v/>
      </c>
      <c r="E117" s="57" t="str">
        <f>IF(K117="","",VLOOKUP(F117,Tabelle1!$A$2:$M$496,13,0))</f>
        <v/>
      </c>
      <c r="F117" s="56"/>
      <c r="G117" s="57"/>
      <c r="H117" s="57"/>
      <c r="I117" s="57"/>
      <c r="J117" s="57"/>
      <c r="K117" s="57" t="str">
        <f t="shared" si="8"/>
        <v/>
      </c>
      <c r="L117" s="57" t="str">
        <f>IF(K117="","",VLOOKUP(F117,Tabelle1!$A$2:$I$496,9,0))</f>
        <v/>
      </c>
      <c r="M117" s="57" t="str">
        <f>IF(K117="","",VLOOKUP(F117,Tabelle1!$A$2:$G$496,7,0))</f>
        <v/>
      </c>
      <c r="N117" s="66" t="str">
        <f t="shared" si="9"/>
        <v/>
      </c>
      <c r="O117" s="66" t="str">
        <f>IF(K117="","",((K117*VLOOKUP(F117,Tabelle1!$A$2:$I$496,8,0))/$W$4))</f>
        <v/>
      </c>
      <c r="P117" s="76" t="str">
        <f>IF(K117="","",VLOOKUP(F117,Tabelle1!$A$2:$L$496,12,0))</f>
        <v/>
      </c>
    </row>
    <row r="118" spans="1:16">
      <c r="A118" s="67"/>
      <c r="B118" s="55"/>
      <c r="C118" s="55"/>
      <c r="D118" s="57" t="str">
        <f>IF(K118="","",VLOOKUP(F118,Tabelle1!$A$2:$C$496,3,0))</f>
        <v/>
      </c>
      <c r="E118" s="57" t="str">
        <f>IF(K118="","",VLOOKUP(F118,Tabelle1!$A$2:$M$496,13,0))</f>
        <v/>
      </c>
      <c r="F118" s="56"/>
      <c r="G118" s="57"/>
      <c r="H118" s="57"/>
      <c r="I118" s="57"/>
      <c r="J118" s="57"/>
      <c r="K118" s="57" t="str">
        <f t="shared" si="8"/>
        <v/>
      </c>
      <c r="L118" s="57" t="str">
        <f>IF(K118="","",VLOOKUP(F118,Tabelle1!$A$2:$I$496,9,0))</f>
        <v/>
      </c>
      <c r="M118" s="57" t="str">
        <f>IF(K118="","",VLOOKUP(F118,Tabelle1!$A$2:$G$496,7,0))</f>
        <v/>
      </c>
      <c r="N118" s="66" t="str">
        <f t="shared" si="9"/>
        <v/>
      </c>
      <c r="O118" s="66" t="str">
        <f>IF(K118="","",((K118*VLOOKUP(F118,Tabelle1!$A$2:$I$496,8,0))/$W$4))</f>
        <v/>
      </c>
      <c r="P118" s="76" t="str">
        <f>IF(K118="","",VLOOKUP(F118,Tabelle1!$A$2:$L$496,12,0))</f>
        <v/>
      </c>
    </row>
    <row r="119" spans="1:16">
      <c r="A119" s="67"/>
      <c r="B119" s="55"/>
      <c r="C119" s="55"/>
      <c r="D119" s="57" t="str">
        <f>IF(K119="","",VLOOKUP(F119,Tabelle1!$A$2:$C$496,3,0))</f>
        <v/>
      </c>
      <c r="E119" s="57" t="str">
        <f>IF(K119="","",VLOOKUP(F119,Tabelle1!$A$2:$M$496,13,0))</f>
        <v/>
      </c>
      <c r="F119" s="56"/>
      <c r="G119" s="57"/>
      <c r="H119" s="57"/>
      <c r="I119" s="57"/>
      <c r="J119" s="57"/>
      <c r="K119" s="57" t="str">
        <f t="shared" si="8"/>
        <v/>
      </c>
      <c r="L119" s="57" t="str">
        <f>IF(K119="","",VLOOKUP(F119,Tabelle1!$A$2:$I$496,9,0))</f>
        <v/>
      </c>
      <c r="M119" s="57" t="str">
        <f>IF(K119="","",VLOOKUP(F119,Tabelle1!$A$2:$G$496,7,0))</f>
        <v/>
      </c>
      <c r="N119" s="66" t="str">
        <f t="shared" si="9"/>
        <v/>
      </c>
      <c r="O119" s="66" t="str">
        <f>IF(K119="","",((K119*VLOOKUP(F119,Tabelle1!$A$2:$I$496,8,0))/$W$4))</f>
        <v/>
      </c>
      <c r="P119" s="76" t="str">
        <f>IF(K119="","",VLOOKUP(F119,Tabelle1!$A$2:$L$496,12,0))</f>
        <v/>
      </c>
    </row>
    <row r="120" spans="1:16">
      <c r="A120" s="67"/>
      <c r="B120" s="55"/>
      <c r="C120" s="55"/>
      <c r="D120" s="57" t="str">
        <f>IF(K120="","",VLOOKUP(F120,Tabelle1!$A$2:$C$496,3,0))</f>
        <v/>
      </c>
      <c r="E120" s="57" t="str">
        <f>IF(K120="","",VLOOKUP(F120,Tabelle1!$A$2:$M$496,13,0))</f>
        <v/>
      </c>
      <c r="F120" s="56"/>
      <c r="G120" s="57"/>
      <c r="H120" s="57"/>
      <c r="I120" s="57"/>
      <c r="J120" s="57"/>
      <c r="K120" s="57" t="str">
        <f t="shared" si="8"/>
        <v/>
      </c>
      <c r="L120" s="57" t="str">
        <f>IF(K120="","",VLOOKUP(F120,Tabelle1!$A$2:$I$496,9,0))</f>
        <v/>
      </c>
      <c r="M120" s="57" t="str">
        <f>IF(K120="","",VLOOKUP(F120,Tabelle1!$A$2:$G$496,7,0))</f>
        <v/>
      </c>
      <c r="N120" s="66" t="str">
        <f t="shared" si="9"/>
        <v/>
      </c>
      <c r="O120" s="66" t="str">
        <f>IF(K120="","",((K120*VLOOKUP(F120,Tabelle1!$A$2:$I$496,8,0))/$W$4))</f>
        <v/>
      </c>
      <c r="P120" s="76" t="str">
        <f>IF(K120="","",VLOOKUP(F120,Tabelle1!$A$2:$L$496,12,0))</f>
        <v/>
      </c>
    </row>
    <row r="121" spans="1:16">
      <c r="A121" s="67"/>
      <c r="B121" s="55"/>
      <c r="C121" s="55"/>
      <c r="D121" s="57" t="str">
        <f>IF(K121="","",VLOOKUP(F121,Tabelle1!$A$2:$C$496,3,0))</f>
        <v/>
      </c>
      <c r="E121" s="57" t="str">
        <f>IF(K121="","",VLOOKUP(F121,Tabelle1!$A$2:$M$496,13,0))</f>
        <v/>
      </c>
      <c r="F121" s="56"/>
      <c r="G121" s="57"/>
      <c r="H121" s="57"/>
      <c r="I121" s="57"/>
      <c r="J121" s="57"/>
      <c r="K121" s="57" t="str">
        <f t="shared" si="8"/>
        <v/>
      </c>
      <c r="L121" s="57" t="str">
        <f>IF(K121="","",VLOOKUP(F121,Tabelle1!$A$2:$I$496,9,0))</f>
        <v/>
      </c>
      <c r="M121" s="57" t="str">
        <f>IF(K121="","",VLOOKUP(F121,Tabelle1!$A$2:$G$496,7,0))</f>
        <v/>
      </c>
      <c r="N121" s="66" t="str">
        <f t="shared" si="9"/>
        <v/>
      </c>
      <c r="O121" s="66" t="str">
        <f>IF(K121="","",((K121*VLOOKUP(F121,Tabelle1!$A$2:$I$496,8,0))/$W$4))</f>
        <v/>
      </c>
      <c r="P121" s="76" t="str">
        <f>IF(K121="","",VLOOKUP(F121,Tabelle1!$A$2:$L$496,12,0))</f>
        <v/>
      </c>
    </row>
    <row r="122" spans="1:16">
      <c r="A122" s="67"/>
      <c r="B122" s="55"/>
      <c r="C122" s="55"/>
      <c r="D122" s="57" t="str">
        <f>IF(K122="","",VLOOKUP(F122,Tabelle1!$A$2:$C$496,3,0))</f>
        <v/>
      </c>
      <c r="E122" s="57" t="str">
        <f>IF(K122="","",VLOOKUP(F122,Tabelle1!$A$2:$M$496,13,0))</f>
        <v/>
      </c>
      <c r="F122" s="56"/>
      <c r="G122" s="57"/>
      <c r="H122" s="57"/>
      <c r="I122" s="57"/>
      <c r="J122" s="57"/>
      <c r="K122" s="57" t="str">
        <f t="shared" si="8"/>
        <v/>
      </c>
      <c r="L122" s="57" t="str">
        <f>IF(K122="","",VLOOKUP(F122,Tabelle1!$A$2:$I$496,9,0))</f>
        <v/>
      </c>
      <c r="M122" s="57" t="str">
        <f>IF(K122="","",VLOOKUP(F122,Tabelle1!$A$2:$G$496,7,0))</f>
        <v/>
      </c>
      <c r="N122" s="66" t="str">
        <f t="shared" si="9"/>
        <v/>
      </c>
      <c r="O122" s="66" t="str">
        <f>IF(K122="","",((K122*VLOOKUP(F122,Tabelle1!$A$2:$I$496,8,0))/$W$4))</f>
        <v/>
      </c>
      <c r="P122" s="76" t="str">
        <f>IF(K122="","",VLOOKUP(F122,Tabelle1!$A$2:$L$496,12,0))</f>
        <v/>
      </c>
    </row>
    <row r="123" spans="1:16">
      <c r="A123" s="67"/>
      <c r="B123" s="55"/>
      <c r="C123" s="55"/>
      <c r="D123" s="57" t="str">
        <f>IF(K123="","",VLOOKUP(F123,Tabelle1!$A$2:$C$496,3,0))</f>
        <v/>
      </c>
      <c r="E123" s="57" t="str">
        <f>IF(K123="","",VLOOKUP(F123,Tabelle1!$A$2:$M$496,13,0))</f>
        <v/>
      </c>
      <c r="F123" s="56"/>
      <c r="G123" s="57"/>
      <c r="H123" s="57"/>
      <c r="I123" s="57"/>
      <c r="J123" s="57"/>
      <c r="K123" s="57" t="str">
        <f t="shared" si="8"/>
        <v/>
      </c>
      <c r="L123" s="57" t="str">
        <f>IF(K123="","",VLOOKUP(F123,Tabelle1!$A$2:$I$496,9,0))</f>
        <v/>
      </c>
      <c r="M123" s="57" t="str">
        <f>IF(K123="","",VLOOKUP(F123,Tabelle1!$A$2:$G$496,7,0))</f>
        <v/>
      </c>
      <c r="N123" s="66" t="str">
        <f t="shared" si="9"/>
        <v/>
      </c>
      <c r="O123" s="66" t="str">
        <f>IF(K123="","",((K123*VLOOKUP(F123,Tabelle1!$A$2:$I$496,8,0))/$W$4))</f>
        <v/>
      </c>
      <c r="P123" s="76" t="str">
        <f>IF(K123="","",VLOOKUP(F123,Tabelle1!$A$2:$L$496,12,0))</f>
        <v/>
      </c>
    </row>
    <row r="124" spans="1:16">
      <c r="A124" s="67"/>
      <c r="B124" s="55"/>
      <c r="C124" s="55"/>
      <c r="D124" s="57" t="str">
        <f>IF(K124="","",VLOOKUP(F124,Tabelle1!$A$2:$C$496,3,0))</f>
        <v/>
      </c>
      <c r="E124" s="57" t="str">
        <f>IF(K124="","",VLOOKUP(F124,Tabelle1!$A$2:$M$496,13,0))</f>
        <v/>
      </c>
      <c r="F124" s="56"/>
      <c r="G124" s="57"/>
      <c r="H124" s="57"/>
      <c r="I124" s="57"/>
      <c r="J124" s="57"/>
      <c r="K124" s="57" t="str">
        <f t="shared" si="8"/>
        <v/>
      </c>
      <c r="L124" s="57" t="str">
        <f>IF(K124="","",VLOOKUP(F124,Tabelle1!$A$2:$I$496,9,0))</f>
        <v/>
      </c>
      <c r="M124" s="57" t="str">
        <f>IF(K124="","",VLOOKUP(F124,Tabelle1!$A$2:$G$496,7,0))</f>
        <v/>
      </c>
      <c r="N124" s="66" t="str">
        <f t="shared" si="9"/>
        <v/>
      </c>
      <c r="O124" s="66" t="str">
        <f>IF(K124="","",((K124*VLOOKUP(F124,Tabelle1!$A$2:$I$496,8,0))/$W$4))</f>
        <v/>
      </c>
      <c r="P124" s="76" t="str">
        <f>IF(K124="","",VLOOKUP(F124,Tabelle1!$A$2:$L$496,12,0))</f>
        <v/>
      </c>
    </row>
    <row r="125" spans="1:16">
      <c r="A125" s="67"/>
      <c r="B125" s="55"/>
      <c r="C125" s="55"/>
      <c r="D125" s="57" t="str">
        <f>IF(K125="","",VLOOKUP(F125,Tabelle1!$A$2:$C$496,3,0))</f>
        <v/>
      </c>
      <c r="E125" s="57" t="str">
        <f>IF(K125="","",VLOOKUP(F125,Tabelle1!$A$2:$M$496,13,0))</f>
        <v/>
      </c>
      <c r="F125" s="56"/>
      <c r="G125" s="57"/>
      <c r="H125" s="57"/>
      <c r="I125" s="57"/>
      <c r="J125" s="57"/>
      <c r="K125" s="57" t="str">
        <f t="shared" si="8"/>
        <v/>
      </c>
      <c r="L125" s="57" t="str">
        <f>IF(K125="","",VLOOKUP(F125,Tabelle1!$A$2:$I$496,9,0))</f>
        <v/>
      </c>
      <c r="M125" s="57" t="str">
        <f>IF(K125="","",VLOOKUP(F125,Tabelle1!$A$2:$G$496,7,0))</f>
        <v/>
      </c>
      <c r="N125" s="66" t="str">
        <f t="shared" si="9"/>
        <v/>
      </c>
      <c r="O125" s="66" t="str">
        <f>IF(K125="","",((K125*VLOOKUP(F125,Tabelle1!$A$2:$I$496,8,0))/$W$4))</f>
        <v/>
      </c>
      <c r="P125" s="76" t="str">
        <f>IF(K125="","",VLOOKUP(F125,Tabelle1!$A$2:$L$496,12,0))</f>
        <v/>
      </c>
    </row>
    <row r="126" spans="1:16">
      <c r="A126" s="67"/>
      <c r="B126" s="55"/>
      <c r="C126" s="55"/>
      <c r="D126" s="57" t="str">
        <f>IF(K126="","",VLOOKUP(F126,Tabelle1!$A$2:$C$496,3,0))</f>
        <v/>
      </c>
      <c r="E126" s="57" t="str">
        <f>IF(K126="","",VLOOKUP(F126,Tabelle1!$A$2:$M$496,13,0))</f>
        <v/>
      </c>
      <c r="F126" s="56"/>
      <c r="G126" s="57"/>
      <c r="H126" s="57"/>
      <c r="I126" s="57"/>
      <c r="J126" s="57"/>
      <c r="K126" s="57" t="str">
        <f t="shared" si="8"/>
        <v/>
      </c>
      <c r="L126" s="57" t="str">
        <f>IF(K126="","",VLOOKUP(F126,Tabelle1!$A$2:$I$496,9,0))</f>
        <v/>
      </c>
      <c r="M126" s="57" t="str">
        <f>IF(K126="","",VLOOKUP(F126,Tabelle1!$A$2:$G$496,7,0))</f>
        <v/>
      </c>
      <c r="N126" s="66" t="str">
        <f t="shared" si="9"/>
        <v/>
      </c>
      <c r="O126" s="66" t="str">
        <f>IF(K126="","",((K126*VLOOKUP(F126,Tabelle1!$A$2:$I$496,8,0))/$W$4))</f>
        <v/>
      </c>
      <c r="P126" s="76" t="str">
        <f>IF(K126="","",VLOOKUP(F126,Tabelle1!$A$2:$L$496,12,0))</f>
        <v/>
      </c>
    </row>
    <row r="127" spans="1:16">
      <c r="A127" s="67"/>
      <c r="B127" s="55"/>
      <c r="C127" s="55"/>
      <c r="D127" s="57" t="str">
        <f>IF(K127="","",VLOOKUP(F127,Tabelle1!$A$2:$C$496,3,0))</f>
        <v/>
      </c>
      <c r="E127" s="57" t="str">
        <f>IF(K127="","",VLOOKUP(F127,Tabelle1!$A$2:$M$496,13,0))</f>
        <v/>
      </c>
      <c r="F127" s="56"/>
      <c r="G127" s="57"/>
      <c r="H127" s="57"/>
      <c r="I127" s="57"/>
      <c r="J127" s="57"/>
      <c r="K127" s="57" t="str">
        <f t="shared" si="8"/>
        <v/>
      </c>
      <c r="L127" s="57" t="str">
        <f>IF(K127="","",VLOOKUP(F127,Tabelle1!$A$2:$I$496,9,0))</f>
        <v/>
      </c>
      <c r="M127" s="57" t="str">
        <f>IF(K127="","",VLOOKUP(F127,Tabelle1!$A$2:$G$496,7,0))</f>
        <v/>
      </c>
      <c r="N127" s="66" t="str">
        <f t="shared" si="9"/>
        <v/>
      </c>
      <c r="O127" s="66" t="str">
        <f>IF(K127="","",((K127*VLOOKUP(F127,Tabelle1!$A$2:$I$496,8,0))/$W$4))</f>
        <v/>
      </c>
      <c r="P127" s="76" t="str">
        <f>IF(K127="","",VLOOKUP(F127,Tabelle1!$A$2:$L$496,12,0))</f>
        <v/>
      </c>
    </row>
    <row r="128" spans="1:16">
      <c r="A128" s="67"/>
      <c r="B128" s="55"/>
      <c r="C128" s="55"/>
      <c r="D128" s="57" t="str">
        <f>IF(K128="","",VLOOKUP(F128,Tabelle1!$A$2:$C$496,3,0))</f>
        <v/>
      </c>
      <c r="E128" s="57" t="str">
        <f>IF(K128="","",VLOOKUP(F128,Tabelle1!$A$2:$M$496,13,0))</f>
        <v/>
      </c>
      <c r="F128" s="56"/>
      <c r="G128" s="57"/>
      <c r="H128" s="57"/>
      <c r="I128" s="57"/>
      <c r="J128" s="57"/>
      <c r="K128" s="57" t="str">
        <f t="shared" si="8"/>
        <v/>
      </c>
      <c r="L128" s="57" t="str">
        <f>IF(K128="","",VLOOKUP(F128,Tabelle1!$A$2:$I$496,9,0))</f>
        <v/>
      </c>
      <c r="M128" s="57" t="str">
        <f>IF(K128="","",VLOOKUP(F128,Tabelle1!$A$2:$G$496,7,0))</f>
        <v/>
      </c>
      <c r="N128" s="66" t="str">
        <f t="shared" si="9"/>
        <v/>
      </c>
      <c r="O128" s="66" t="str">
        <f>IF(K128="","",((K128*VLOOKUP(F128,Tabelle1!$A$2:$I$496,8,0))/$W$4))</f>
        <v/>
      </c>
      <c r="P128" s="76" t="str">
        <f>IF(K128="","",VLOOKUP(F128,Tabelle1!$A$2:$L$496,12,0))</f>
        <v/>
      </c>
    </row>
    <row r="129" spans="1:16">
      <c r="A129" s="67"/>
      <c r="B129" s="55"/>
      <c r="C129" s="55"/>
      <c r="D129" s="57" t="str">
        <f>IF(K129="","",VLOOKUP(F129,Tabelle1!$A$2:$C$496,3,0))</f>
        <v/>
      </c>
      <c r="E129" s="57" t="str">
        <f>IF(K129="","",VLOOKUP(F129,Tabelle1!$A$2:$M$496,13,0))</f>
        <v/>
      </c>
      <c r="F129" s="56"/>
      <c r="G129" s="57"/>
      <c r="H129" s="57"/>
      <c r="I129" s="57"/>
      <c r="J129" s="57"/>
      <c r="K129" s="57" t="str">
        <f t="shared" si="8"/>
        <v/>
      </c>
      <c r="L129" s="57" t="str">
        <f>IF(K129="","",VLOOKUP(F129,Tabelle1!$A$2:$I$496,9,0))</f>
        <v/>
      </c>
      <c r="M129" s="57" t="str">
        <f>IF(K129="","",VLOOKUP(F129,Tabelle1!$A$2:$G$496,7,0))</f>
        <v/>
      </c>
      <c r="N129" s="66" t="str">
        <f t="shared" si="9"/>
        <v/>
      </c>
      <c r="O129" s="66" t="str">
        <f>IF(K129="","",((K129*VLOOKUP(F129,Tabelle1!$A$2:$I$496,8,0))/$W$4))</f>
        <v/>
      </c>
      <c r="P129" s="76" t="str">
        <f>IF(K129="","",VLOOKUP(F129,Tabelle1!$A$2:$L$496,12,0))</f>
        <v/>
      </c>
    </row>
    <row r="130" spans="1:16">
      <c r="A130" s="67"/>
      <c r="B130" s="55"/>
      <c r="C130" s="55"/>
      <c r="D130" s="57" t="str">
        <f>IF(K130="","",VLOOKUP(F130,Tabelle1!$A$2:$C$496,3,0))</f>
        <v/>
      </c>
      <c r="E130" s="57" t="str">
        <f>IF(K130="","",VLOOKUP(F130,Tabelle1!$A$2:$M$496,13,0))</f>
        <v/>
      </c>
      <c r="F130" s="56"/>
      <c r="G130" s="57"/>
      <c r="H130" s="57"/>
      <c r="I130" s="57"/>
      <c r="J130" s="57"/>
      <c r="K130" s="57" t="str">
        <f t="shared" si="8"/>
        <v/>
      </c>
      <c r="L130" s="57" t="str">
        <f>IF(K130="","",VLOOKUP(F130,Tabelle1!$A$2:$I$496,9,0))</f>
        <v/>
      </c>
      <c r="M130" s="57" t="str">
        <f>IF(K130="","",VLOOKUP(F130,Tabelle1!$A$2:$G$496,7,0))</f>
        <v/>
      </c>
      <c r="N130" s="66" t="str">
        <f t="shared" si="9"/>
        <v/>
      </c>
      <c r="O130" s="66" t="str">
        <f>IF(K130="","",((K130*VLOOKUP(F130,Tabelle1!$A$2:$I$496,8,0))/$W$4))</f>
        <v/>
      </c>
      <c r="P130" s="76" t="str">
        <f>IF(K130="","",VLOOKUP(F130,Tabelle1!$A$2:$L$496,12,0))</f>
        <v/>
      </c>
    </row>
    <row r="131" spans="1:16">
      <c r="A131" s="67"/>
      <c r="B131" s="55"/>
      <c r="C131" s="55"/>
      <c r="D131" s="57" t="str">
        <f>IF(K131="","",VLOOKUP(F131,Tabelle1!$A$2:$C$496,3,0))</f>
        <v/>
      </c>
      <c r="E131" s="57" t="str">
        <f>IF(K131="","",VLOOKUP(F131,Tabelle1!$A$2:$M$496,13,0))</f>
        <v/>
      </c>
      <c r="F131" s="56"/>
      <c r="G131" s="57"/>
      <c r="H131" s="57"/>
      <c r="I131" s="57"/>
      <c r="J131" s="57"/>
      <c r="K131" s="57" t="str">
        <f t="shared" si="8"/>
        <v/>
      </c>
      <c r="L131" s="57" t="str">
        <f>IF(K131="","",VLOOKUP(F131,Tabelle1!$A$2:$I$496,9,0))</f>
        <v/>
      </c>
      <c r="M131" s="57" t="str">
        <f>IF(K131="","",VLOOKUP(F131,Tabelle1!$A$2:$G$496,7,0))</f>
        <v/>
      </c>
      <c r="N131" s="66" t="str">
        <f t="shared" si="9"/>
        <v/>
      </c>
      <c r="O131" s="66" t="str">
        <f>IF(K131="","",((K131*VLOOKUP(F131,Tabelle1!$A$2:$I$496,8,0))/$W$4))</f>
        <v/>
      </c>
      <c r="P131" s="76" t="str">
        <f>IF(K131="","",VLOOKUP(F131,Tabelle1!$A$2:$L$496,12,0))</f>
        <v/>
      </c>
    </row>
    <row r="132" spans="1:16">
      <c r="A132" s="67"/>
      <c r="B132" s="55"/>
      <c r="C132" s="55"/>
      <c r="D132" s="57" t="str">
        <f>IF(K132="","",VLOOKUP(F132,Tabelle1!$A$2:$C$496,3,0))</f>
        <v/>
      </c>
      <c r="E132" s="57" t="str">
        <f>IF(K132="","",VLOOKUP(F132,Tabelle1!$A$2:$M$496,13,0))</f>
        <v/>
      </c>
      <c r="F132" s="56"/>
      <c r="G132" s="57"/>
      <c r="H132" s="57"/>
      <c r="I132" s="57"/>
      <c r="J132" s="57"/>
      <c r="K132" s="57" t="str">
        <f t="shared" si="8"/>
        <v/>
      </c>
      <c r="L132" s="57" t="str">
        <f>IF(K132="","",VLOOKUP(F132,Tabelle1!$A$2:$I$496,9,0))</f>
        <v/>
      </c>
      <c r="M132" s="57" t="str">
        <f>IF(K132="","",VLOOKUP(F132,Tabelle1!$A$2:$G$496,7,0))</f>
        <v/>
      </c>
      <c r="N132" s="66" t="str">
        <f t="shared" si="9"/>
        <v/>
      </c>
      <c r="O132" s="66" t="str">
        <f>IF(K132="","",((K132*VLOOKUP(F132,Tabelle1!$A$2:$I$496,8,0))/$W$4))</f>
        <v/>
      </c>
      <c r="P132" s="76" t="str">
        <f>IF(K132="","",VLOOKUP(F132,Tabelle1!$A$2:$L$496,12,0))</f>
        <v/>
      </c>
    </row>
    <row r="133" spans="1:16">
      <c r="A133" s="67"/>
      <c r="B133" s="55"/>
      <c r="C133" s="55"/>
      <c r="D133" s="57" t="str">
        <f>IF(K133="","",VLOOKUP(F133,Tabelle1!$A$2:$C$496,3,0))</f>
        <v/>
      </c>
      <c r="E133" s="57" t="str">
        <f>IF(K133="","",VLOOKUP(F133,Tabelle1!$A$2:$M$496,13,0))</f>
        <v/>
      </c>
      <c r="F133" s="56"/>
      <c r="G133" s="57"/>
      <c r="H133" s="57"/>
      <c r="I133" s="57"/>
      <c r="J133" s="57"/>
      <c r="K133" s="57" t="str">
        <f t="shared" ref="K133:K196" si="10">IF(F133="","",C133*G133*H133)</f>
        <v/>
      </c>
      <c r="L133" s="57" t="str">
        <f>IF(K133="","",VLOOKUP(F133,Tabelle1!$A$2:$I$496,9,0))</f>
        <v/>
      </c>
      <c r="M133" s="57" t="str">
        <f>IF(K133="","",VLOOKUP(F133,Tabelle1!$A$2:$G$496,7,0))</f>
        <v/>
      </c>
      <c r="N133" s="66" t="str">
        <f t="shared" ref="N133:N196" si="11">IF(M133&gt;0,O133,"")</f>
        <v/>
      </c>
      <c r="O133" s="66" t="str">
        <f>IF(K133="","",((K133*VLOOKUP(F133,Tabelle1!$A$2:$I$496,8,0))/$W$4))</f>
        <v/>
      </c>
      <c r="P133" s="76" t="str">
        <f>IF(K133="","",VLOOKUP(F133,Tabelle1!$A$2:$L$496,12,0))</f>
        <v/>
      </c>
    </row>
    <row r="134" spans="1:16">
      <c r="A134" s="67"/>
      <c r="B134" s="55"/>
      <c r="C134" s="55"/>
      <c r="D134" s="57" t="str">
        <f>IF(K134="","",VLOOKUP(F134,Tabelle1!$A$2:$C$496,3,0))</f>
        <v/>
      </c>
      <c r="E134" s="57" t="str">
        <f>IF(K134="","",VLOOKUP(F134,Tabelle1!$A$2:$M$496,13,0))</f>
        <v/>
      </c>
      <c r="F134" s="56"/>
      <c r="G134" s="57"/>
      <c r="H134" s="57"/>
      <c r="I134" s="57"/>
      <c r="J134" s="57"/>
      <c r="K134" s="57" t="str">
        <f t="shared" si="10"/>
        <v/>
      </c>
      <c r="L134" s="57" t="str">
        <f>IF(K134="","",VLOOKUP(F134,Tabelle1!$A$2:$I$496,9,0))</f>
        <v/>
      </c>
      <c r="M134" s="57" t="str">
        <f>IF(K134="","",VLOOKUP(F134,Tabelle1!$A$2:$G$496,7,0))</f>
        <v/>
      </c>
      <c r="N134" s="66" t="str">
        <f t="shared" si="11"/>
        <v/>
      </c>
      <c r="O134" s="66" t="str">
        <f>IF(K134="","",((K134*VLOOKUP(F134,Tabelle1!$A$2:$I$496,8,0))/$W$4))</f>
        <v/>
      </c>
      <c r="P134" s="76" t="str">
        <f>IF(K134="","",VLOOKUP(F134,Tabelle1!$A$2:$L$496,12,0))</f>
        <v/>
      </c>
    </row>
    <row r="135" spans="1:16">
      <c r="A135" s="67"/>
      <c r="B135" s="55"/>
      <c r="C135" s="55"/>
      <c r="D135" s="57" t="str">
        <f>IF(K135="","",VLOOKUP(F135,Tabelle1!$A$2:$C$496,3,0))</f>
        <v/>
      </c>
      <c r="E135" s="57" t="str">
        <f>IF(K135="","",VLOOKUP(F135,Tabelle1!$A$2:$M$496,13,0))</f>
        <v/>
      </c>
      <c r="F135" s="56"/>
      <c r="G135" s="57"/>
      <c r="H135" s="57"/>
      <c r="I135" s="57"/>
      <c r="J135" s="57"/>
      <c r="K135" s="57" t="str">
        <f t="shared" si="10"/>
        <v/>
      </c>
      <c r="L135" s="57" t="str">
        <f>IF(K135="","",VLOOKUP(F135,Tabelle1!$A$2:$I$496,9,0))</f>
        <v/>
      </c>
      <c r="M135" s="57" t="str">
        <f>IF(K135="","",VLOOKUP(F135,Tabelle1!$A$2:$G$496,7,0))</f>
        <v/>
      </c>
      <c r="N135" s="66" t="str">
        <f t="shared" si="11"/>
        <v/>
      </c>
      <c r="O135" s="66" t="str">
        <f>IF(K135="","",((K135*VLOOKUP(F135,Tabelle1!$A$2:$I$496,8,0))/$W$4))</f>
        <v/>
      </c>
      <c r="P135" s="76" t="str">
        <f>IF(K135="","",VLOOKUP(F135,Tabelle1!$A$2:$L$496,12,0))</f>
        <v/>
      </c>
    </row>
    <row r="136" spans="1:16">
      <c r="A136" s="67"/>
      <c r="B136" s="55"/>
      <c r="C136" s="55"/>
      <c r="D136" s="57" t="str">
        <f>IF(K136="","",VLOOKUP(F136,Tabelle1!$A$2:$C$496,3,0))</f>
        <v/>
      </c>
      <c r="E136" s="57" t="str">
        <f>IF(K136="","",VLOOKUP(F136,Tabelle1!$A$2:$M$496,13,0))</f>
        <v/>
      </c>
      <c r="F136" s="56"/>
      <c r="G136" s="57"/>
      <c r="H136" s="57"/>
      <c r="I136" s="57"/>
      <c r="J136" s="57"/>
      <c r="K136" s="57" t="str">
        <f t="shared" si="10"/>
        <v/>
      </c>
      <c r="L136" s="57" t="str">
        <f>IF(K136="","",VLOOKUP(F136,Tabelle1!$A$2:$I$496,9,0))</f>
        <v/>
      </c>
      <c r="M136" s="57" t="str">
        <f>IF(K136="","",VLOOKUP(F136,Tabelle1!$A$2:$G$496,7,0))</f>
        <v/>
      </c>
      <c r="N136" s="66" t="str">
        <f t="shared" si="11"/>
        <v/>
      </c>
      <c r="O136" s="66" t="str">
        <f>IF(K136="","",((K136*VLOOKUP(F136,Tabelle1!$A$2:$I$496,8,0))/$W$4))</f>
        <v/>
      </c>
      <c r="P136" s="76" t="str">
        <f>IF(K136="","",VLOOKUP(F136,Tabelle1!$A$2:$L$496,12,0))</f>
        <v/>
      </c>
    </row>
    <row r="137" spans="1:16">
      <c r="A137" s="67"/>
      <c r="B137" s="55"/>
      <c r="C137" s="55"/>
      <c r="D137" s="57" t="str">
        <f>IF(K137="","",VLOOKUP(F137,Tabelle1!$A$2:$C$496,3,0))</f>
        <v/>
      </c>
      <c r="E137" s="57" t="str">
        <f>IF(K137="","",VLOOKUP(F137,Tabelle1!$A$2:$M$496,13,0))</f>
        <v/>
      </c>
      <c r="F137" s="56"/>
      <c r="G137" s="57"/>
      <c r="H137" s="57"/>
      <c r="I137" s="57"/>
      <c r="J137" s="57"/>
      <c r="K137" s="57" t="str">
        <f t="shared" si="10"/>
        <v/>
      </c>
      <c r="L137" s="57" t="str">
        <f>IF(K137="","",VLOOKUP(F137,Tabelle1!$A$2:$I$496,9,0))</f>
        <v/>
      </c>
      <c r="M137" s="57" t="str">
        <f>IF(K137="","",VLOOKUP(F137,Tabelle1!$A$2:$G$496,7,0))</f>
        <v/>
      </c>
      <c r="N137" s="66" t="str">
        <f t="shared" si="11"/>
        <v/>
      </c>
      <c r="O137" s="66" t="str">
        <f>IF(K137="","",((K137*VLOOKUP(F137,Tabelle1!$A$2:$I$496,8,0))/$W$4))</f>
        <v/>
      </c>
      <c r="P137" s="76" t="str">
        <f>IF(K137="","",VLOOKUP(F137,Tabelle1!$A$2:$L$496,12,0))</f>
        <v/>
      </c>
    </row>
    <row r="138" spans="1:16">
      <c r="A138" s="67"/>
      <c r="B138" s="55"/>
      <c r="C138" s="55"/>
      <c r="D138" s="57" t="str">
        <f>IF(K138="","",VLOOKUP(F138,Tabelle1!$A$2:$C$496,3,0))</f>
        <v/>
      </c>
      <c r="E138" s="57" t="str">
        <f>IF(K138="","",VLOOKUP(F138,Tabelle1!$A$2:$M$496,13,0))</f>
        <v/>
      </c>
      <c r="F138" s="56"/>
      <c r="G138" s="57"/>
      <c r="H138" s="57"/>
      <c r="I138" s="57"/>
      <c r="J138" s="57"/>
      <c r="K138" s="57" t="str">
        <f t="shared" si="10"/>
        <v/>
      </c>
      <c r="L138" s="57" t="str">
        <f>IF(K138="","",VLOOKUP(F138,Tabelle1!$A$2:$I$496,9,0))</f>
        <v/>
      </c>
      <c r="M138" s="57" t="str">
        <f>IF(K138="","",VLOOKUP(F138,Tabelle1!$A$2:$G$496,7,0))</f>
        <v/>
      </c>
      <c r="N138" s="66" t="str">
        <f t="shared" si="11"/>
        <v/>
      </c>
      <c r="O138" s="66" t="str">
        <f>IF(K138="","",((K138*VLOOKUP(F138,Tabelle1!$A$2:$I$496,8,0))/$W$4))</f>
        <v/>
      </c>
      <c r="P138" s="76" t="str">
        <f>IF(K138="","",VLOOKUP(F138,Tabelle1!$A$2:$L$496,12,0))</f>
        <v/>
      </c>
    </row>
    <row r="139" spans="1:16">
      <c r="A139" s="67"/>
      <c r="B139" s="55"/>
      <c r="C139" s="55"/>
      <c r="D139" s="57" t="str">
        <f>IF(K139="","",VLOOKUP(F139,Tabelle1!$A$2:$C$496,3,0))</f>
        <v/>
      </c>
      <c r="E139" s="57" t="str">
        <f>IF(K139="","",VLOOKUP(F139,Tabelle1!$A$2:$M$496,13,0))</f>
        <v/>
      </c>
      <c r="F139" s="56"/>
      <c r="G139" s="57"/>
      <c r="H139" s="57"/>
      <c r="I139" s="57"/>
      <c r="J139" s="57"/>
      <c r="K139" s="57" t="str">
        <f t="shared" si="10"/>
        <v/>
      </c>
      <c r="L139" s="57" t="str">
        <f>IF(K139="","",VLOOKUP(F139,Tabelle1!$A$2:$I$496,9,0))</f>
        <v/>
      </c>
      <c r="M139" s="57" t="str">
        <f>IF(K139="","",VLOOKUP(F139,Tabelle1!$A$2:$G$496,7,0))</f>
        <v/>
      </c>
      <c r="N139" s="66" t="str">
        <f t="shared" si="11"/>
        <v/>
      </c>
      <c r="O139" s="66" t="str">
        <f>IF(K139="","",((K139*VLOOKUP(F139,Tabelle1!$A$2:$I$496,8,0))/$W$4))</f>
        <v/>
      </c>
      <c r="P139" s="76" t="str">
        <f>IF(K139="","",VLOOKUP(F139,Tabelle1!$A$2:$L$496,12,0))</f>
        <v/>
      </c>
    </row>
    <row r="140" spans="1:16">
      <c r="A140" s="67"/>
      <c r="B140" s="55"/>
      <c r="C140" s="55"/>
      <c r="D140" s="57" t="str">
        <f>IF(K140="","",VLOOKUP(F140,Tabelle1!$A$2:$C$496,3,0))</f>
        <v/>
      </c>
      <c r="E140" s="57" t="str">
        <f>IF(K140="","",VLOOKUP(F140,Tabelle1!$A$2:$M$496,13,0))</f>
        <v/>
      </c>
      <c r="F140" s="56"/>
      <c r="G140" s="57"/>
      <c r="H140" s="57"/>
      <c r="I140" s="57"/>
      <c r="J140" s="57"/>
      <c r="K140" s="57" t="str">
        <f t="shared" si="10"/>
        <v/>
      </c>
      <c r="L140" s="57" t="str">
        <f>IF(K140="","",VLOOKUP(F140,Tabelle1!$A$2:$I$496,9,0))</f>
        <v/>
      </c>
      <c r="M140" s="57" t="str">
        <f>IF(K140="","",VLOOKUP(F140,Tabelle1!$A$2:$G$496,7,0))</f>
        <v/>
      </c>
      <c r="N140" s="66" t="str">
        <f t="shared" si="11"/>
        <v/>
      </c>
      <c r="O140" s="66" t="str">
        <f>IF(K140="","",((K140*VLOOKUP(F140,Tabelle1!$A$2:$I$496,8,0))/$W$4))</f>
        <v/>
      </c>
      <c r="P140" s="76" t="str">
        <f>IF(K140="","",VLOOKUP(F140,Tabelle1!$A$2:$L$496,12,0))</f>
        <v/>
      </c>
    </row>
    <row r="141" spans="1:16">
      <c r="A141" s="67"/>
      <c r="B141" s="55"/>
      <c r="C141" s="55"/>
      <c r="D141" s="57" t="str">
        <f>IF(K141="","",VLOOKUP(F141,Tabelle1!$A$2:$C$496,3,0))</f>
        <v/>
      </c>
      <c r="E141" s="57" t="str">
        <f>IF(K141="","",VLOOKUP(F141,Tabelle1!$A$2:$M$496,13,0))</f>
        <v/>
      </c>
      <c r="F141" s="56"/>
      <c r="G141" s="57"/>
      <c r="H141" s="57"/>
      <c r="I141" s="57"/>
      <c r="J141" s="57"/>
      <c r="K141" s="57" t="str">
        <f t="shared" si="10"/>
        <v/>
      </c>
      <c r="L141" s="57" t="str">
        <f>IF(K141="","",VLOOKUP(F141,Tabelle1!$A$2:$I$496,9,0))</f>
        <v/>
      </c>
      <c r="M141" s="57" t="str">
        <f>IF(K141="","",VLOOKUP(F141,Tabelle1!$A$2:$G$496,7,0))</f>
        <v/>
      </c>
      <c r="N141" s="66" t="str">
        <f t="shared" si="11"/>
        <v/>
      </c>
      <c r="O141" s="66" t="str">
        <f>IF(K141="","",((K141*VLOOKUP(F141,Tabelle1!$A$2:$I$496,8,0))/$W$4))</f>
        <v/>
      </c>
      <c r="P141" s="76" t="str">
        <f>IF(K141="","",VLOOKUP(F141,Tabelle1!$A$2:$L$496,12,0))</f>
        <v/>
      </c>
    </row>
    <row r="142" spans="1:16">
      <c r="A142" s="67"/>
      <c r="B142" s="55"/>
      <c r="C142" s="55"/>
      <c r="D142" s="57" t="str">
        <f>IF(K142="","",VLOOKUP(F142,Tabelle1!$A$2:$C$496,3,0))</f>
        <v/>
      </c>
      <c r="E142" s="57" t="str">
        <f>IF(K142="","",VLOOKUP(F142,Tabelle1!$A$2:$M$496,13,0))</f>
        <v/>
      </c>
      <c r="F142" s="56"/>
      <c r="G142" s="57"/>
      <c r="H142" s="57"/>
      <c r="I142" s="57"/>
      <c r="J142" s="57"/>
      <c r="K142" s="57" t="str">
        <f t="shared" si="10"/>
        <v/>
      </c>
      <c r="L142" s="57" t="str">
        <f>IF(K142="","",VLOOKUP(F142,Tabelle1!$A$2:$I$496,9,0))</f>
        <v/>
      </c>
      <c r="M142" s="57" t="str">
        <f>IF(K142="","",VLOOKUP(F142,Tabelle1!$A$2:$G$496,7,0))</f>
        <v/>
      </c>
      <c r="N142" s="66" t="str">
        <f t="shared" si="11"/>
        <v/>
      </c>
      <c r="O142" s="66" t="str">
        <f>IF(K142="","",((K142*VLOOKUP(F142,Tabelle1!$A$2:$I$496,8,0))/$W$4))</f>
        <v/>
      </c>
      <c r="P142" s="76" t="str">
        <f>IF(K142="","",VLOOKUP(F142,Tabelle1!$A$2:$L$496,12,0))</f>
        <v/>
      </c>
    </row>
    <row r="143" spans="1:16">
      <c r="A143" s="67"/>
      <c r="B143" s="55"/>
      <c r="C143" s="55"/>
      <c r="D143" s="57" t="str">
        <f>IF(K143="","",VLOOKUP(F143,Tabelle1!$A$2:$C$496,3,0))</f>
        <v/>
      </c>
      <c r="E143" s="57" t="str">
        <f>IF(K143="","",VLOOKUP(F143,Tabelle1!$A$2:$M$496,13,0))</f>
        <v/>
      </c>
      <c r="F143" s="56"/>
      <c r="G143" s="57"/>
      <c r="H143" s="57"/>
      <c r="I143" s="57"/>
      <c r="J143" s="57"/>
      <c r="K143" s="57" t="str">
        <f t="shared" si="10"/>
        <v/>
      </c>
      <c r="L143" s="57" t="str">
        <f>IF(K143="","",VLOOKUP(F143,Tabelle1!$A$2:$I$496,9,0))</f>
        <v/>
      </c>
      <c r="M143" s="57" t="str">
        <f>IF(K143="","",VLOOKUP(F143,Tabelle1!$A$2:$G$496,7,0))</f>
        <v/>
      </c>
      <c r="N143" s="66" t="str">
        <f t="shared" si="11"/>
        <v/>
      </c>
      <c r="O143" s="66" t="str">
        <f>IF(K143="","",((K143*VLOOKUP(F143,Tabelle1!$A$2:$I$496,8,0))/$W$4))</f>
        <v/>
      </c>
      <c r="P143" s="76" t="str">
        <f>IF(K143="","",VLOOKUP(F143,Tabelle1!$A$2:$L$496,12,0))</f>
        <v/>
      </c>
    </row>
    <row r="144" spans="1:16">
      <c r="A144" s="67"/>
      <c r="B144" s="55"/>
      <c r="C144" s="55"/>
      <c r="D144" s="57" t="str">
        <f>IF(K144="","",VLOOKUP(F144,Tabelle1!$A$2:$C$496,3,0))</f>
        <v/>
      </c>
      <c r="E144" s="57" t="str">
        <f>IF(K144="","",VLOOKUP(F144,Tabelle1!$A$2:$M$496,13,0))</f>
        <v/>
      </c>
      <c r="F144" s="56"/>
      <c r="G144" s="57"/>
      <c r="H144" s="57"/>
      <c r="I144" s="57"/>
      <c r="J144" s="57"/>
      <c r="K144" s="57" t="str">
        <f t="shared" si="10"/>
        <v/>
      </c>
      <c r="L144" s="57" t="str">
        <f>IF(K144="","",VLOOKUP(F144,Tabelle1!$A$2:$I$496,9,0))</f>
        <v/>
      </c>
      <c r="M144" s="57" t="str">
        <f>IF(K144="","",VLOOKUP(F144,Tabelle1!$A$2:$G$496,7,0))</f>
        <v/>
      </c>
      <c r="N144" s="66" t="str">
        <f t="shared" si="11"/>
        <v/>
      </c>
      <c r="O144" s="66" t="str">
        <f>IF(K144="","",((K144*VLOOKUP(F144,Tabelle1!$A$2:$I$496,8,0))/$W$4))</f>
        <v/>
      </c>
      <c r="P144" s="76" t="str">
        <f>IF(K144="","",VLOOKUP(F144,Tabelle1!$A$2:$L$496,12,0))</f>
        <v/>
      </c>
    </row>
    <row r="145" spans="1:16">
      <c r="A145" s="67"/>
      <c r="B145" s="55"/>
      <c r="C145" s="55"/>
      <c r="D145" s="57" t="str">
        <f>IF(K145="","",VLOOKUP(F145,Tabelle1!$A$2:$C$496,3,0))</f>
        <v/>
      </c>
      <c r="E145" s="57" t="str">
        <f>IF(K145="","",VLOOKUP(F145,Tabelle1!$A$2:$M$496,13,0))</f>
        <v/>
      </c>
      <c r="F145" s="56"/>
      <c r="G145" s="57"/>
      <c r="H145" s="57"/>
      <c r="I145" s="57"/>
      <c r="J145" s="57"/>
      <c r="K145" s="57" t="str">
        <f t="shared" si="10"/>
        <v/>
      </c>
      <c r="L145" s="57" t="str">
        <f>IF(K145="","",VLOOKUP(F145,Tabelle1!$A$2:$I$496,9,0))</f>
        <v/>
      </c>
      <c r="M145" s="57" t="str">
        <f>IF(K145="","",VLOOKUP(F145,Tabelle1!$A$2:$G$496,7,0))</f>
        <v/>
      </c>
      <c r="N145" s="66" t="str">
        <f t="shared" si="11"/>
        <v/>
      </c>
      <c r="O145" s="66" t="str">
        <f>IF(K145="","",((K145*VLOOKUP(F145,Tabelle1!$A$2:$I$496,8,0))/$W$4))</f>
        <v/>
      </c>
      <c r="P145" s="76" t="str">
        <f>IF(K145="","",VLOOKUP(F145,Tabelle1!$A$2:$L$496,12,0))</f>
        <v/>
      </c>
    </row>
    <row r="146" spans="1:16">
      <c r="A146" s="67"/>
      <c r="B146" s="55"/>
      <c r="C146" s="55"/>
      <c r="D146" s="57" t="str">
        <f>IF(K146="","",VLOOKUP(F146,Tabelle1!$A$2:$C$496,3,0))</f>
        <v/>
      </c>
      <c r="E146" s="57" t="str">
        <f>IF(K146="","",VLOOKUP(F146,Tabelle1!$A$2:$M$496,13,0))</f>
        <v/>
      </c>
      <c r="F146" s="56"/>
      <c r="G146" s="57"/>
      <c r="H146" s="57"/>
      <c r="I146" s="57"/>
      <c r="J146" s="57"/>
      <c r="K146" s="57" t="str">
        <f t="shared" si="10"/>
        <v/>
      </c>
      <c r="L146" s="57" t="str">
        <f>IF(K146="","",VLOOKUP(F146,Tabelle1!$A$2:$I$496,9,0))</f>
        <v/>
      </c>
      <c r="M146" s="57" t="str">
        <f>IF(K146="","",VLOOKUP(F146,Tabelle1!$A$2:$G$496,7,0))</f>
        <v/>
      </c>
      <c r="N146" s="66" t="str">
        <f t="shared" si="11"/>
        <v/>
      </c>
      <c r="O146" s="66" t="str">
        <f>IF(K146="","",((K146*VLOOKUP(F146,Tabelle1!$A$2:$I$496,8,0))/$W$4))</f>
        <v/>
      </c>
      <c r="P146" s="76" t="str">
        <f>IF(K146="","",VLOOKUP(F146,Tabelle1!$A$2:$L$496,12,0))</f>
        <v/>
      </c>
    </row>
    <row r="147" spans="1:16">
      <c r="A147" s="67"/>
      <c r="B147" s="55"/>
      <c r="C147" s="55"/>
      <c r="D147" s="57" t="str">
        <f>IF(K147="","",VLOOKUP(F147,Tabelle1!$A$2:$C$496,3,0))</f>
        <v/>
      </c>
      <c r="E147" s="57" t="str">
        <f>IF(K147="","",VLOOKUP(F147,Tabelle1!$A$2:$M$496,13,0))</f>
        <v/>
      </c>
      <c r="F147" s="56"/>
      <c r="G147" s="57"/>
      <c r="H147" s="57"/>
      <c r="I147" s="57"/>
      <c r="J147" s="57"/>
      <c r="K147" s="57" t="str">
        <f t="shared" si="10"/>
        <v/>
      </c>
      <c r="L147" s="57" t="str">
        <f>IF(K147="","",VLOOKUP(F147,Tabelle1!$A$2:$I$496,9,0))</f>
        <v/>
      </c>
      <c r="M147" s="57" t="str">
        <f>IF(K147="","",VLOOKUP(F147,Tabelle1!$A$2:$G$496,7,0))</f>
        <v/>
      </c>
      <c r="N147" s="66" t="str">
        <f t="shared" si="11"/>
        <v/>
      </c>
      <c r="O147" s="66" t="str">
        <f>IF(K147="","",((K147*VLOOKUP(F147,Tabelle1!$A$2:$I$496,8,0))/$W$4))</f>
        <v/>
      </c>
      <c r="P147" s="76" t="str">
        <f>IF(K147="","",VLOOKUP(F147,Tabelle1!$A$2:$L$496,12,0))</f>
        <v/>
      </c>
    </row>
    <row r="148" spans="1:16">
      <c r="A148" s="67"/>
      <c r="B148" s="55"/>
      <c r="C148" s="55"/>
      <c r="D148" s="57" t="str">
        <f>IF(K148="","",VLOOKUP(F148,Tabelle1!$A$2:$C$496,3,0))</f>
        <v/>
      </c>
      <c r="E148" s="57" t="str">
        <f>IF(K148="","",VLOOKUP(F148,Tabelle1!$A$2:$M$496,13,0))</f>
        <v/>
      </c>
      <c r="F148" s="56"/>
      <c r="G148" s="57"/>
      <c r="H148" s="57"/>
      <c r="I148" s="57"/>
      <c r="J148" s="57"/>
      <c r="K148" s="57" t="str">
        <f t="shared" si="10"/>
        <v/>
      </c>
      <c r="L148" s="57" t="str">
        <f>IF(K148="","",VLOOKUP(F148,Tabelle1!$A$2:$I$496,9,0))</f>
        <v/>
      </c>
      <c r="M148" s="57" t="str">
        <f>IF(K148="","",VLOOKUP(F148,Tabelle1!$A$2:$G$496,7,0))</f>
        <v/>
      </c>
      <c r="N148" s="66" t="str">
        <f t="shared" si="11"/>
        <v/>
      </c>
      <c r="O148" s="66" t="str">
        <f>IF(K148="","",((K148*VLOOKUP(F148,Tabelle1!$A$2:$I$496,8,0))/$W$4))</f>
        <v/>
      </c>
      <c r="P148" s="76" t="str">
        <f>IF(K148="","",VLOOKUP(F148,Tabelle1!$A$2:$L$496,12,0))</f>
        <v/>
      </c>
    </row>
    <row r="149" spans="1:16">
      <c r="A149" s="67"/>
      <c r="B149" s="55"/>
      <c r="C149" s="55"/>
      <c r="D149" s="57" t="str">
        <f>IF(K149="","",VLOOKUP(F149,Tabelle1!$A$2:$C$496,3,0))</f>
        <v/>
      </c>
      <c r="E149" s="57" t="str">
        <f>IF(K149="","",VLOOKUP(F149,Tabelle1!$A$2:$M$496,13,0))</f>
        <v/>
      </c>
      <c r="F149" s="56"/>
      <c r="G149" s="57"/>
      <c r="H149" s="57"/>
      <c r="I149" s="57"/>
      <c r="J149" s="57"/>
      <c r="K149" s="57" t="str">
        <f t="shared" si="10"/>
        <v/>
      </c>
      <c r="L149" s="57" t="str">
        <f>IF(K149="","",VLOOKUP(F149,Tabelle1!$A$2:$I$496,9,0))</f>
        <v/>
      </c>
      <c r="M149" s="57" t="str">
        <f>IF(K149="","",VLOOKUP(F149,Tabelle1!$A$2:$G$496,7,0))</f>
        <v/>
      </c>
      <c r="N149" s="66" t="str">
        <f t="shared" si="11"/>
        <v/>
      </c>
      <c r="O149" s="66" t="str">
        <f>IF(K149="","",((K149*VLOOKUP(F149,Tabelle1!$A$2:$I$496,8,0))/$W$4))</f>
        <v/>
      </c>
      <c r="P149" s="76" t="str">
        <f>IF(K149="","",VLOOKUP(F149,Tabelle1!$A$2:$L$496,12,0))</f>
        <v/>
      </c>
    </row>
    <row r="150" spans="1:16">
      <c r="A150" s="67"/>
      <c r="B150" s="55"/>
      <c r="C150" s="55"/>
      <c r="D150" s="57" t="str">
        <f>IF(K150="","",VLOOKUP(F150,Tabelle1!$A$2:$C$496,3,0))</f>
        <v/>
      </c>
      <c r="E150" s="57" t="str">
        <f>IF(K150="","",VLOOKUP(F150,Tabelle1!$A$2:$M$496,13,0))</f>
        <v/>
      </c>
      <c r="F150" s="56"/>
      <c r="G150" s="57"/>
      <c r="H150" s="57"/>
      <c r="I150" s="57"/>
      <c r="J150" s="57"/>
      <c r="K150" s="57" t="str">
        <f t="shared" si="10"/>
        <v/>
      </c>
      <c r="L150" s="57" t="str">
        <f>IF(K150="","",VLOOKUP(F150,Tabelle1!$A$2:$I$496,9,0))</f>
        <v/>
      </c>
      <c r="M150" s="57" t="str">
        <f>IF(K150="","",VLOOKUP(F150,Tabelle1!$A$2:$G$496,7,0))</f>
        <v/>
      </c>
      <c r="N150" s="66" t="str">
        <f t="shared" si="11"/>
        <v/>
      </c>
      <c r="O150" s="66" t="str">
        <f>IF(K150="","",((K150*VLOOKUP(F150,Tabelle1!$A$2:$I$496,8,0))/$W$4))</f>
        <v/>
      </c>
      <c r="P150" s="76" t="str">
        <f>IF(K150="","",VLOOKUP(F150,Tabelle1!$A$2:$L$496,12,0))</f>
        <v/>
      </c>
    </row>
    <row r="151" spans="1:16">
      <c r="A151" s="67"/>
      <c r="B151" s="55"/>
      <c r="C151" s="55"/>
      <c r="D151" s="57" t="str">
        <f>IF(K151="","",VLOOKUP(F151,Tabelle1!$A$2:$C$496,3,0))</f>
        <v/>
      </c>
      <c r="E151" s="57" t="str">
        <f>IF(K151="","",VLOOKUP(F151,Tabelle1!$A$2:$M$496,13,0))</f>
        <v/>
      </c>
      <c r="F151" s="56"/>
      <c r="G151" s="57"/>
      <c r="H151" s="57"/>
      <c r="I151" s="57"/>
      <c r="J151" s="57"/>
      <c r="K151" s="57" t="str">
        <f t="shared" si="10"/>
        <v/>
      </c>
      <c r="L151" s="57" t="str">
        <f>IF(K151="","",VLOOKUP(F151,Tabelle1!$A$2:$I$496,9,0))</f>
        <v/>
      </c>
      <c r="M151" s="57" t="str">
        <f>IF(K151="","",VLOOKUP(F151,Tabelle1!$A$2:$G$496,7,0))</f>
        <v/>
      </c>
      <c r="N151" s="66" t="str">
        <f t="shared" si="11"/>
        <v/>
      </c>
      <c r="O151" s="66" t="str">
        <f>IF(K151="","",((K151*VLOOKUP(F151,Tabelle1!$A$2:$I$496,8,0))/$W$4))</f>
        <v/>
      </c>
      <c r="P151" s="76" t="str">
        <f>IF(K151="","",VLOOKUP(F151,Tabelle1!$A$2:$L$496,12,0))</f>
        <v/>
      </c>
    </row>
    <row r="152" spans="1:16">
      <c r="A152" s="67"/>
      <c r="B152" s="55"/>
      <c r="C152" s="55"/>
      <c r="D152" s="57" t="str">
        <f>IF(K152="","",VLOOKUP(F152,Tabelle1!$A$2:$C$496,3,0))</f>
        <v/>
      </c>
      <c r="E152" s="57" t="str">
        <f>IF(K152="","",VLOOKUP(F152,Tabelle1!$A$2:$M$496,13,0))</f>
        <v/>
      </c>
      <c r="F152" s="56"/>
      <c r="G152" s="57"/>
      <c r="H152" s="57"/>
      <c r="I152" s="57"/>
      <c r="J152" s="57"/>
      <c r="K152" s="57" t="str">
        <f t="shared" si="10"/>
        <v/>
      </c>
      <c r="L152" s="57" t="str">
        <f>IF(K152="","",VLOOKUP(F152,Tabelle1!$A$2:$I$496,9,0))</f>
        <v/>
      </c>
      <c r="M152" s="57" t="str">
        <f>IF(K152="","",VLOOKUP(F152,Tabelle1!$A$2:$G$496,7,0))</f>
        <v/>
      </c>
      <c r="N152" s="66" t="str">
        <f t="shared" si="11"/>
        <v/>
      </c>
      <c r="O152" s="66" t="str">
        <f>IF(K152="","",((K152*VLOOKUP(F152,Tabelle1!$A$2:$I$496,8,0))/$W$4))</f>
        <v/>
      </c>
      <c r="P152" s="76" t="str">
        <f>IF(K152="","",VLOOKUP(F152,Tabelle1!$A$2:$L$496,12,0))</f>
        <v/>
      </c>
    </row>
    <row r="153" spans="1:16">
      <c r="A153" s="67"/>
      <c r="B153" s="55"/>
      <c r="C153" s="55"/>
      <c r="D153" s="57" t="str">
        <f>IF(K153="","",VLOOKUP(F153,Tabelle1!$A$2:$C$496,3,0))</f>
        <v/>
      </c>
      <c r="E153" s="57" t="str">
        <f>IF(K153="","",VLOOKUP(F153,Tabelle1!$A$2:$M$496,13,0))</f>
        <v/>
      </c>
      <c r="F153" s="56"/>
      <c r="G153" s="57"/>
      <c r="H153" s="57"/>
      <c r="I153" s="57"/>
      <c r="J153" s="57"/>
      <c r="K153" s="57" t="str">
        <f t="shared" si="10"/>
        <v/>
      </c>
      <c r="L153" s="57" t="str">
        <f>IF(K153="","",VLOOKUP(F153,Tabelle1!$A$2:$I$496,9,0))</f>
        <v/>
      </c>
      <c r="M153" s="57" t="str">
        <f>IF(K153="","",VLOOKUP(F153,Tabelle1!$A$2:$G$496,7,0))</f>
        <v/>
      </c>
      <c r="N153" s="66" t="str">
        <f t="shared" si="11"/>
        <v/>
      </c>
      <c r="O153" s="66" t="str">
        <f>IF(K153="","",((K153*VLOOKUP(F153,Tabelle1!$A$2:$I$496,8,0))/$W$4))</f>
        <v/>
      </c>
      <c r="P153" s="76" t="str">
        <f>IF(K153="","",VLOOKUP(F153,Tabelle1!$A$2:$L$496,12,0))</f>
        <v/>
      </c>
    </row>
    <row r="154" spans="1:16">
      <c r="A154" s="67"/>
      <c r="B154" s="55"/>
      <c r="C154" s="55"/>
      <c r="D154" s="57" t="str">
        <f>IF(K154="","",VLOOKUP(F154,Tabelle1!$A$2:$C$496,3,0))</f>
        <v/>
      </c>
      <c r="E154" s="57" t="str">
        <f>IF(K154="","",VLOOKUP(F154,Tabelle1!$A$2:$M$496,13,0))</f>
        <v/>
      </c>
      <c r="F154" s="56"/>
      <c r="G154" s="57"/>
      <c r="H154" s="57"/>
      <c r="I154" s="57"/>
      <c r="J154" s="57"/>
      <c r="K154" s="57" t="str">
        <f t="shared" si="10"/>
        <v/>
      </c>
      <c r="L154" s="57" t="str">
        <f>IF(K154="","",VLOOKUP(F154,Tabelle1!$A$2:$I$496,9,0))</f>
        <v/>
      </c>
      <c r="M154" s="57" t="str">
        <f>IF(K154="","",VLOOKUP(F154,Tabelle1!$A$2:$G$496,7,0))</f>
        <v/>
      </c>
      <c r="N154" s="66" t="str">
        <f t="shared" si="11"/>
        <v/>
      </c>
      <c r="O154" s="66" t="str">
        <f>IF(K154="","",((K154*VLOOKUP(F154,Tabelle1!$A$2:$I$496,8,0))/$W$4))</f>
        <v/>
      </c>
      <c r="P154" s="76" t="str">
        <f>IF(K154="","",VLOOKUP(F154,Tabelle1!$A$2:$L$496,12,0))</f>
        <v/>
      </c>
    </row>
    <row r="155" spans="1:16">
      <c r="A155" s="67"/>
      <c r="B155" s="55"/>
      <c r="C155" s="55"/>
      <c r="D155" s="57" t="str">
        <f>IF(K155="","",VLOOKUP(F155,Tabelle1!$A$2:$C$496,3,0))</f>
        <v/>
      </c>
      <c r="E155" s="57" t="str">
        <f>IF(K155="","",VLOOKUP(F155,Tabelle1!$A$2:$M$496,13,0))</f>
        <v/>
      </c>
      <c r="F155" s="56"/>
      <c r="G155" s="57"/>
      <c r="H155" s="57"/>
      <c r="I155" s="57"/>
      <c r="J155" s="57"/>
      <c r="K155" s="57" t="str">
        <f t="shared" si="10"/>
        <v/>
      </c>
      <c r="L155" s="57" t="str">
        <f>IF(K155="","",VLOOKUP(F155,Tabelle1!$A$2:$I$496,9,0))</f>
        <v/>
      </c>
      <c r="M155" s="57" t="str">
        <f>IF(K155="","",VLOOKUP(F155,Tabelle1!$A$2:$G$496,7,0))</f>
        <v/>
      </c>
      <c r="N155" s="66" t="str">
        <f t="shared" si="11"/>
        <v/>
      </c>
      <c r="O155" s="66" t="str">
        <f>IF(K155="","",((K155*VLOOKUP(F155,Tabelle1!$A$2:$I$496,8,0))/$W$4))</f>
        <v/>
      </c>
      <c r="P155" s="76" t="str">
        <f>IF(K155="","",VLOOKUP(F155,Tabelle1!$A$2:$L$496,12,0))</f>
        <v/>
      </c>
    </row>
    <row r="156" spans="1:16">
      <c r="A156" s="67"/>
      <c r="B156" s="55"/>
      <c r="C156" s="55"/>
      <c r="D156" s="57" t="str">
        <f>IF(K156="","",VLOOKUP(F156,Tabelle1!$A$2:$C$496,3,0))</f>
        <v/>
      </c>
      <c r="E156" s="57" t="str">
        <f>IF(K156="","",VLOOKUP(F156,Tabelle1!$A$2:$M$496,13,0))</f>
        <v/>
      </c>
      <c r="F156" s="56"/>
      <c r="G156" s="57"/>
      <c r="H156" s="57"/>
      <c r="I156" s="57"/>
      <c r="J156" s="57"/>
      <c r="K156" s="57" t="str">
        <f t="shared" si="10"/>
        <v/>
      </c>
      <c r="L156" s="57" t="str">
        <f>IF(K156="","",VLOOKUP(F156,Tabelle1!$A$2:$I$496,9,0))</f>
        <v/>
      </c>
      <c r="M156" s="57" t="str">
        <f>IF(K156="","",VLOOKUP(F156,Tabelle1!$A$2:$G$496,7,0))</f>
        <v/>
      </c>
      <c r="N156" s="66" t="str">
        <f t="shared" si="11"/>
        <v/>
      </c>
      <c r="O156" s="66" t="str">
        <f>IF(K156="","",((K156*VLOOKUP(F156,Tabelle1!$A$2:$I$496,8,0))/$W$4))</f>
        <v/>
      </c>
      <c r="P156" s="76" t="str">
        <f>IF(K156="","",VLOOKUP(F156,Tabelle1!$A$2:$L$496,12,0))</f>
        <v/>
      </c>
    </row>
    <row r="157" spans="1:16">
      <c r="A157" s="67"/>
      <c r="B157" s="55"/>
      <c r="C157" s="55"/>
      <c r="D157" s="57" t="str">
        <f>IF(K157="","",VLOOKUP(F157,Tabelle1!$A$2:$C$496,3,0))</f>
        <v/>
      </c>
      <c r="E157" s="57" t="str">
        <f>IF(K157="","",VLOOKUP(F157,Tabelle1!$A$2:$M$496,13,0))</f>
        <v/>
      </c>
      <c r="F157" s="56"/>
      <c r="G157" s="57"/>
      <c r="H157" s="57"/>
      <c r="I157" s="57"/>
      <c r="J157" s="57"/>
      <c r="K157" s="57" t="str">
        <f t="shared" si="10"/>
        <v/>
      </c>
      <c r="L157" s="57" t="str">
        <f>IF(K157="","",VLOOKUP(F157,Tabelle1!$A$2:$I$496,9,0))</f>
        <v/>
      </c>
      <c r="M157" s="57" t="str">
        <f>IF(K157="","",VLOOKUP(F157,Tabelle1!$A$2:$G$496,7,0))</f>
        <v/>
      </c>
      <c r="N157" s="66" t="str">
        <f t="shared" si="11"/>
        <v/>
      </c>
      <c r="O157" s="66" t="str">
        <f>IF(K157="","",((K157*VLOOKUP(F157,Tabelle1!$A$2:$I$496,8,0))/$W$4))</f>
        <v/>
      </c>
      <c r="P157" s="76" t="str">
        <f>IF(K157="","",VLOOKUP(F157,Tabelle1!$A$2:$L$496,12,0))</f>
        <v/>
      </c>
    </row>
    <row r="158" spans="1:16">
      <c r="A158" s="67"/>
      <c r="B158" s="55"/>
      <c r="C158" s="55"/>
      <c r="D158" s="57" t="str">
        <f>IF(K158="","",VLOOKUP(F158,Tabelle1!$A$2:$C$496,3,0))</f>
        <v/>
      </c>
      <c r="E158" s="57" t="str">
        <f>IF(K158="","",VLOOKUP(F158,Tabelle1!$A$2:$M$496,13,0))</f>
        <v/>
      </c>
      <c r="F158" s="56"/>
      <c r="G158" s="57"/>
      <c r="H158" s="57"/>
      <c r="I158" s="57"/>
      <c r="J158" s="57"/>
      <c r="K158" s="57" t="str">
        <f t="shared" si="10"/>
        <v/>
      </c>
      <c r="L158" s="57" t="str">
        <f>IF(K158="","",VLOOKUP(F158,Tabelle1!$A$2:$I$496,9,0))</f>
        <v/>
      </c>
      <c r="M158" s="57" t="str">
        <f>IF(K158="","",VLOOKUP(F158,Tabelle1!$A$2:$G$496,7,0))</f>
        <v/>
      </c>
      <c r="N158" s="66" t="str">
        <f t="shared" si="11"/>
        <v/>
      </c>
      <c r="O158" s="66" t="str">
        <f>IF(K158="","",((K158*VLOOKUP(F158,Tabelle1!$A$2:$I$496,8,0))/$W$4))</f>
        <v/>
      </c>
      <c r="P158" s="76" t="str">
        <f>IF(K158="","",VLOOKUP(F158,Tabelle1!$A$2:$L$496,12,0))</f>
        <v/>
      </c>
    </row>
    <row r="159" spans="1:16">
      <c r="A159" s="67"/>
      <c r="B159" s="55"/>
      <c r="C159" s="55"/>
      <c r="D159" s="57" t="str">
        <f>IF(K159="","",VLOOKUP(F159,Tabelle1!$A$2:$C$496,3,0))</f>
        <v/>
      </c>
      <c r="E159" s="57" t="str">
        <f>IF(K159="","",VLOOKUP(F159,Tabelle1!$A$2:$M$496,13,0))</f>
        <v/>
      </c>
      <c r="F159" s="56"/>
      <c r="G159" s="57"/>
      <c r="H159" s="57"/>
      <c r="I159" s="57"/>
      <c r="J159" s="57"/>
      <c r="K159" s="57" t="str">
        <f t="shared" si="10"/>
        <v/>
      </c>
      <c r="L159" s="57" t="str">
        <f>IF(K159="","",VLOOKUP(F159,Tabelle1!$A$2:$I$496,9,0))</f>
        <v/>
      </c>
      <c r="M159" s="57" t="str">
        <f>IF(K159="","",VLOOKUP(F159,Tabelle1!$A$2:$G$496,7,0))</f>
        <v/>
      </c>
      <c r="N159" s="66" t="str">
        <f t="shared" si="11"/>
        <v/>
      </c>
      <c r="O159" s="66" t="str">
        <f>IF(K159="","",((K159*VLOOKUP(F159,Tabelle1!$A$2:$I$496,8,0))/$W$4))</f>
        <v/>
      </c>
      <c r="P159" s="76" t="str">
        <f>IF(K159="","",VLOOKUP(F159,Tabelle1!$A$2:$L$496,12,0))</f>
        <v/>
      </c>
    </row>
    <row r="160" spans="1:16">
      <c r="A160" s="67"/>
      <c r="B160" s="55"/>
      <c r="C160" s="55"/>
      <c r="D160" s="57" t="str">
        <f>IF(K160="","",VLOOKUP(F160,Tabelle1!$A$2:$C$496,3,0))</f>
        <v/>
      </c>
      <c r="E160" s="57" t="str">
        <f>IF(K160="","",VLOOKUP(F160,Tabelle1!$A$2:$M$496,13,0))</f>
        <v/>
      </c>
      <c r="F160" s="56"/>
      <c r="G160" s="57"/>
      <c r="H160" s="57"/>
      <c r="I160" s="57"/>
      <c r="J160" s="57"/>
      <c r="K160" s="57" t="str">
        <f t="shared" si="10"/>
        <v/>
      </c>
      <c r="L160" s="57" t="str">
        <f>IF(K160="","",VLOOKUP(F160,Tabelle1!$A$2:$I$496,9,0))</f>
        <v/>
      </c>
      <c r="M160" s="57" t="str">
        <f>IF(K160="","",VLOOKUP(F160,Tabelle1!$A$2:$G$496,7,0))</f>
        <v/>
      </c>
      <c r="N160" s="66" t="str">
        <f t="shared" si="11"/>
        <v/>
      </c>
      <c r="O160" s="66" t="str">
        <f>IF(K160="","",((K160*VLOOKUP(F160,Tabelle1!$A$2:$I$496,8,0))/$W$4))</f>
        <v/>
      </c>
      <c r="P160" s="76" t="str">
        <f>IF(K160="","",VLOOKUP(F160,Tabelle1!$A$2:$L$496,12,0))</f>
        <v/>
      </c>
    </row>
    <row r="161" spans="1:16">
      <c r="A161" s="67"/>
      <c r="B161" s="55"/>
      <c r="C161" s="55"/>
      <c r="D161" s="57" t="str">
        <f>IF(K161="","",VLOOKUP(F161,Tabelle1!$A$2:$C$496,3,0))</f>
        <v/>
      </c>
      <c r="E161" s="57" t="str">
        <f>IF(K161="","",VLOOKUP(F161,Tabelle1!$A$2:$M$496,13,0))</f>
        <v/>
      </c>
      <c r="F161" s="56"/>
      <c r="G161" s="57"/>
      <c r="H161" s="57"/>
      <c r="I161" s="57"/>
      <c r="J161" s="57"/>
      <c r="K161" s="57" t="str">
        <f t="shared" si="10"/>
        <v/>
      </c>
      <c r="L161" s="57" t="str">
        <f>IF(K161="","",VLOOKUP(F161,Tabelle1!$A$2:$I$496,9,0))</f>
        <v/>
      </c>
      <c r="M161" s="57" t="str">
        <f>IF(K161="","",VLOOKUP(F161,Tabelle1!$A$2:$G$496,7,0))</f>
        <v/>
      </c>
      <c r="N161" s="66" t="str">
        <f t="shared" si="11"/>
        <v/>
      </c>
      <c r="O161" s="66" t="str">
        <f>IF(K161="","",((K161*VLOOKUP(F161,Tabelle1!$A$2:$I$496,8,0))/$W$4))</f>
        <v/>
      </c>
      <c r="P161" s="76" t="str">
        <f>IF(K161="","",VLOOKUP(F161,Tabelle1!$A$2:$L$496,12,0))</f>
        <v/>
      </c>
    </row>
    <row r="162" spans="1:16">
      <c r="A162" s="67"/>
      <c r="B162" s="55"/>
      <c r="C162" s="55"/>
      <c r="D162" s="57" t="str">
        <f>IF(K162="","",VLOOKUP(F162,Tabelle1!$A$2:$C$496,3,0))</f>
        <v/>
      </c>
      <c r="E162" s="57" t="str">
        <f>IF(K162="","",VLOOKUP(F162,Tabelle1!$A$2:$M$496,13,0))</f>
        <v/>
      </c>
      <c r="F162" s="56"/>
      <c r="G162" s="57"/>
      <c r="H162" s="57"/>
      <c r="I162" s="57"/>
      <c r="J162" s="57"/>
      <c r="K162" s="57" t="str">
        <f t="shared" si="10"/>
        <v/>
      </c>
      <c r="L162" s="57" t="str">
        <f>IF(K162="","",VLOOKUP(F162,Tabelle1!$A$2:$I$496,9,0))</f>
        <v/>
      </c>
      <c r="M162" s="57" t="str">
        <f>IF(K162="","",VLOOKUP(F162,Tabelle1!$A$2:$G$496,7,0))</f>
        <v/>
      </c>
      <c r="N162" s="66" t="str">
        <f t="shared" si="11"/>
        <v/>
      </c>
      <c r="O162" s="66" t="str">
        <f>IF(K162="","",((K162*VLOOKUP(F162,Tabelle1!$A$2:$I$496,8,0))/$W$4))</f>
        <v/>
      </c>
      <c r="P162" s="76" t="str">
        <f>IF(K162="","",VLOOKUP(F162,Tabelle1!$A$2:$L$496,12,0))</f>
        <v/>
      </c>
    </row>
    <row r="163" spans="1:16">
      <c r="A163" s="67"/>
      <c r="B163" s="55"/>
      <c r="C163" s="55"/>
      <c r="D163" s="57" t="str">
        <f>IF(K163="","",VLOOKUP(F163,Tabelle1!$A$2:$C$496,3,0))</f>
        <v/>
      </c>
      <c r="E163" s="57" t="str">
        <f>IF(K163="","",VLOOKUP(F163,Tabelle1!$A$2:$M$496,13,0))</f>
        <v/>
      </c>
      <c r="F163" s="56"/>
      <c r="G163" s="57"/>
      <c r="H163" s="57"/>
      <c r="I163" s="57"/>
      <c r="J163" s="57"/>
      <c r="K163" s="57" t="str">
        <f t="shared" si="10"/>
        <v/>
      </c>
      <c r="L163" s="57" t="str">
        <f>IF(K163="","",VLOOKUP(F163,Tabelle1!$A$2:$I$496,9,0))</f>
        <v/>
      </c>
      <c r="M163" s="57" t="str">
        <f>IF(K163="","",VLOOKUP(F163,Tabelle1!$A$2:$G$496,7,0))</f>
        <v/>
      </c>
      <c r="N163" s="66" t="str">
        <f t="shared" si="11"/>
        <v/>
      </c>
      <c r="O163" s="66" t="str">
        <f>IF(K163="","",((K163*VLOOKUP(F163,Tabelle1!$A$2:$I$496,8,0))/$W$4))</f>
        <v/>
      </c>
      <c r="P163" s="76" t="str">
        <f>IF(K163="","",VLOOKUP(F163,Tabelle1!$A$2:$L$496,12,0))</f>
        <v/>
      </c>
    </row>
    <row r="164" spans="1:16">
      <c r="A164" s="67"/>
      <c r="B164" s="55"/>
      <c r="C164" s="55"/>
      <c r="D164" s="57" t="str">
        <f>IF(K164="","",VLOOKUP(F164,Tabelle1!$A$2:$C$496,3,0))</f>
        <v/>
      </c>
      <c r="E164" s="57" t="str">
        <f>IF(K164="","",VLOOKUP(F164,Tabelle1!$A$2:$M$496,13,0))</f>
        <v/>
      </c>
      <c r="F164" s="56"/>
      <c r="G164" s="57"/>
      <c r="H164" s="57"/>
      <c r="I164" s="57"/>
      <c r="J164" s="57"/>
      <c r="K164" s="57" t="str">
        <f t="shared" si="10"/>
        <v/>
      </c>
      <c r="L164" s="57" t="str">
        <f>IF(K164="","",VLOOKUP(F164,Tabelle1!$A$2:$I$496,9,0))</f>
        <v/>
      </c>
      <c r="M164" s="57" t="str">
        <f>IF(K164="","",VLOOKUP(F164,Tabelle1!$A$2:$G$496,7,0))</f>
        <v/>
      </c>
      <c r="N164" s="66" t="str">
        <f t="shared" si="11"/>
        <v/>
      </c>
      <c r="O164" s="66" t="str">
        <f>IF(K164="","",((K164*VLOOKUP(F164,Tabelle1!$A$2:$I$496,8,0))/$W$4))</f>
        <v/>
      </c>
      <c r="P164" s="76" t="str">
        <f>IF(K164="","",VLOOKUP(F164,Tabelle1!$A$2:$L$496,12,0))</f>
        <v/>
      </c>
    </row>
    <row r="165" spans="1:16">
      <c r="A165" s="67"/>
      <c r="B165" s="55"/>
      <c r="C165" s="55"/>
      <c r="D165" s="57" t="str">
        <f>IF(K165="","",VLOOKUP(F165,Tabelle1!$A$2:$C$496,3,0))</f>
        <v/>
      </c>
      <c r="E165" s="57" t="str">
        <f>IF(K165="","",VLOOKUP(F165,Tabelle1!$A$2:$M$496,13,0))</f>
        <v/>
      </c>
      <c r="F165" s="56"/>
      <c r="G165" s="57"/>
      <c r="H165" s="57"/>
      <c r="I165" s="57"/>
      <c r="J165" s="57"/>
      <c r="K165" s="57" t="str">
        <f t="shared" si="10"/>
        <v/>
      </c>
      <c r="L165" s="57" t="str">
        <f>IF(K165="","",VLOOKUP(F165,Tabelle1!$A$2:$I$496,9,0))</f>
        <v/>
      </c>
      <c r="M165" s="57" t="str">
        <f>IF(K165="","",VLOOKUP(F165,Tabelle1!$A$2:$G$496,7,0))</f>
        <v/>
      </c>
      <c r="N165" s="66" t="str">
        <f t="shared" si="11"/>
        <v/>
      </c>
      <c r="O165" s="66" t="str">
        <f>IF(K165="","",((K165*VLOOKUP(F165,Tabelle1!$A$2:$I$496,8,0))/$W$4))</f>
        <v/>
      </c>
      <c r="P165" s="76" t="str">
        <f>IF(K165="","",VLOOKUP(F165,Tabelle1!$A$2:$L$496,12,0))</f>
        <v/>
      </c>
    </row>
    <row r="166" spans="1:16">
      <c r="A166" s="67"/>
      <c r="B166" s="55"/>
      <c r="C166" s="55"/>
      <c r="D166" s="57" t="str">
        <f>IF(K166="","",VLOOKUP(F166,Tabelle1!$A$2:$C$496,3,0))</f>
        <v/>
      </c>
      <c r="E166" s="57" t="str">
        <f>IF(K166="","",VLOOKUP(F166,Tabelle1!$A$2:$M$496,13,0))</f>
        <v/>
      </c>
      <c r="F166" s="56"/>
      <c r="G166" s="57"/>
      <c r="H166" s="57"/>
      <c r="I166" s="57"/>
      <c r="J166" s="57"/>
      <c r="K166" s="57" t="str">
        <f t="shared" si="10"/>
        <v/>
      </c>
      <c r="L166" s="57" t="str">
        <f>IF(K166="","",VLOOKUP(F166,Tabelle1!$A$2:$I$496,9,0))</f>
        <v/>
      </c>
      <c r="M166" s="57" t="str">
        <f>IF(K166="","",VLOOKUP(F166,Tabelle1!$A$2:$G$496,7,0))</f>
        <v/>
      </c>
      <c r="N166" s="66" t="str">
        <f t="shared" si="11"/>
        <v/>
      </c>
      <c r="O166" s="66" t="str">
        <f>IF(K166="","",((K166*VLOOKUP(F166,Tabelle1!$A$2:$I$496,8,0))/$W$4))</f>
        <v/>
      </c>
      <c r="P166" s="76" t="str">
        <f>IF(K166="","",VLOOKUP(F166,Tabelle1!$A$2:$L$496,12,0))</f>
        <v/>
      </c>
    </row>
    <row r="167" spans="1:16">
      <c r="A167" s="67"/>
      <c r="B167" s="55"/>
      <c r="C167" s="55"/>
      <c r="D167" s="57" t="str">
        <f>IF(K167="","",VLOOKUP(F167,Tabelle1!$A$2:$C$496,3,0))</f>
        <v/>
      </c>
      <c r="E167" s="57" t="str">
        <f>IF(K167="","",VLOOKUP(F167,Tabelle1!$A$2:$M$496,13,0))</f>
        <v/>
      </c>
      <c r="F167" s="56"/>
      <c r="G167" s="57"/>
      <c r="H167" s="57"/>
      <c r="I167" s="57"/>
      <c r="J167" s="57"/>
      <c r="K167" s="57" t="str">
        <f t="shared" si="10"/>
        <v/>
      </c>
      <c r="L167" s="57" t="str">
        <f>IF(K167="","",VLOOKUP(F167,Tabelle1!$A$2:$I$496,9,0))</f>
        <v/>
      </c>
      <c r="M167" s="57" t="str">
        <f>IF(K167="","",VLOOKUP(F167,Tabelle1!$A$2:$G$496,7,0))</f>
        <v/>
      </c>
      <c r="N167" s="66" t="str">
        <f t="shared" si="11"/>
        <v/>
      </c>
      <c r="O167" s="66" t="str">
        <f>IF(K167="","",((K167*VLOOKUP(F167,Tabelle1!$A$2:$I$496,8,0))/$W$4))</f>
        <v/>
      </c>
      <c r="P167" s="76" t="str">
        <f>IF(K167="","",VLOOKUP(F167,Tabelle1!$A$2:$L$496,12,0))</f>
        <v/>
      </c>
    </row>
    <row r="168" spans="1:16">
      <c r="A168" s="67"/>
      <c r="B168" s="55"/>
      <c r="C168" s="55"/>
      <c r="D168" s="57" t="str">
        <f>IF(K168="","",VLOOKUP(F168,Tabelle1!$A$2:$C$496,3,0))</f>
        <v/>
      </c>
      <c r="E168" s="57" t="str">
        <f>IF(K168="","",VLOOKUP(F168,Tabelle1!$A$2:$M$496,13,0))</f>
        <v/>
      </c>
      <c r="F168" s="56"/>
      <c r="G168" s="57"/>
      <c r="H168" s="57"/>
      <c r="I168" s="57"/>
      <c r="J168" s="57"/>
      <c r="K168" s="57" t="str">
        <f t="shared" si="10"/>
        <v/>
      </c>
      <c r="L168" s="57" t="str">
        <f>IF(K168="","",VLOOKUP(F168,Tabelle1!$A$2:$I$496,9,0))</f>
        <v/>
      </c>
      <c r="M168" s="57" t="str">
        <f>IF(K168="","",VLOOKUP(F168,Tabelle1!$A$2:$G$496,7,0))</f>
        <v/>
      </c>
      <c r="N168" s="66" t="str">
        <f t="shared" si="11"/>
        <v/>
      </c>
      <c r="O168" s="66" t="str">
        <f>IF(K168="","",((K168*VLOOKUP(F168,Tabelle1!$A$2:$I$496,8,0))/$W$4))</f>
        <v/>
      </c>
      <c r="P168" s="76" t="str">
        <f>IF(K168="","",VLOOKUP(F168,Tabelle1!$A$2:$L$496,12,0))</f>
        <v/>
      </c>
    </row>
    <row r="169" spans="1:16">
      <c r="A169" s="67"/>
      <c r="B169" s="55"/>
      <c r="C169" s="55"/>
      <c r="D169" s="57" t="str">
        <f>IF(K169="","",VLOOKUP(F169,Tabelle1!$A$2:$C$496,3,0))</f>
        <v/>
      </c>
      <c r="E169" s="57" t="str">
        <f>IF(K169="","",VLOOKUP(F169,Tabelle1!$A$2:$M$496,13,0))</f>
        <v/>
      </c>
      <c r="F169" s="56"/>
      <c r="G169" s="57"/>
      <c r="H169" s="57"/>
      <c r="I169" s="57"/>
      <c r="J169" s="57"/>
      <c r="K169" s="57" t="str">
        <f t="shared" si="10"/>
        <v/>
      </c>
      <c r="L169" s="57" t="str">
        <f>IF(K169="","",VLOOKUP(F169,Tabelle1!$A$2:$I$496,9,0))</f>
        <v/>
      </c>
      <c r="M169" s="57" t="str">
        <f>IF(K169="","",VLOOKUP(F169,Tabelle1!$A$2:$G$496,7,0))</f>
        <v/>
      </c>
      <c r="N169" s="66" t="str">
        <f t="shared" si="11"/>
        <v/>
      </c>
      <c r="O169" s="66" t="str">
        <f>IF(K169="","",((K169*VLOOKUP(F169,Tabelle1!$A$2:$I$496,8,0))/$W$4))</f>
        <v/>
      </c>
      <c r="P169" s="76" t="str">
        <f>IF(K169="","",VLOOKUP(F169,Tabelle1!$A$2:$L$496,12,0))</f>
        <v/>
      </c>
    </row>
    <row r="170" spans="1:16">
      <c r="A170" s="67"/>
      <c r="B170" s="55"/>
      <c r="C170" s="55"/>
      <c r="D170" s="57" t="str">
        <f>IF(K170="","",VLOOKUP(F170,Tabelle1!$A$2:$C$496,3,0))</f>
        <v/>
      </c>
      <c r="E170" s="57" t="str">
        <f>IF(K170="","",VLOOKUP(F170,Tabelle1!$A$2:$M$496,13,0))</f>
        <v/>
      </c>
      <c r="F170" s="56"/>
      <c r="G170" s="57"/>
      <c r="H170" s="57"/>
      <c r="I170" s="57"/>
      <c r="J170" s="57"/>
      <c r="K170" s="57" t="str">
        <f t="shared" si="10"/>
        <v/>
      </c>
      <c r="L170" s="57" t="str">
        <f>IF(K170="","",VLOOKUP(F170,Tabelle1!$A$2:$I$496,9,0))</f>
        <v/>
      </c>
      <c r="M170" s="57" t="str">
        <f>IF(K170="","",VLOOKUP(F170,Tabelle1!$A$2:$G$496,7,0))</f>
        <v/>
      </c>
      <c r="N170" s="66" t="str">
        <f t="shared" si="11"/>
        <v/>
      </c>
      <c r="O170" s="66" t="str">
        <f>IF(K170="","",((K170*VLOOKUP(F170,Tabelle1!$A$2:$I$496,8,0))/$W$4))</f>
        <v/>
      </c>
      <c r="P170" s="76" t="str">
        <f>IF(K170="","",VLOOKUP(F170,Tabelle1!$A$2:$L$496,12,0))</f>
        <v/>
      </c>
    </row>
    <row r="171" spans="1:16">
      <c r="A171" s="67"/>
      <c r="B171" s="55"/>
      <c r="C171" s="55"/>
      <c r="D171" s="57" t="str">
        <f>IF(K171="","",VLOOKUP(F171,Tabelle1!$A$2:$C$496,3,0))</f>
        <v/>
      </c>
      <c r="E171" s="57" t="str">
        <f>IF(K171="","",VLOOKUP(F171,Tabelle1!$A$2:$M$496,13,0))</f>
        <v/>
      </c>
      <c r="F171" s="56"/>
      <c r="G171" s="57"/>
      <c r="H171" s="57"/>
      <c r="I171" s="57"/>
      <c r="J171" s="57"/>
      <c r="K171" s="57" t="str">
        <f t="shared" si="10"/>
        <v/>
      </c>
      <c r="L171" s="57" t="str">
        <f>IF(K171="","",VLOOKUP(F171,Tabelle1!$A$2:$I$496,9,0))</f>
        <v/>
      </c>
      <c r="M171" s="57" t="str">
        <f>IF(K171="","",VLOOKUP(F171,Tabelle1!$A$2:$G$496,7,0))</f>
        <v/>
      </c>
      <c r="N171" s="66" t="str">
        <f t="shared" si="11"/>
        <v/>
      </c>
      <c r="O171" s="66" t="str">
        <f>IF(K171="","",((K171*VLOOKUP(F171,Tabelle1!$A$2:$I$496,8,0))/$W$4))</f>
        <v/>
      </c>
      <c r="P171" s="76" t="str">
        <f>IF(K171="","",VLOOKUP(F171,Tabelle1!$A$2:$L$496,12,0))</f>
        <v/>
      </c>
    </row>
    <row r="172" spans="1:16">
      <c r="A172" s="67"/>
      <c r="B172" s="55"/>
      <c r="C172" s="55"/>
      <c r="D172" s="57" t="str">
        <f>IF(K172="","",VLOOKUP(F172,Tabelle1!$A$2:$C$496,3,0))</f>
        <v/>
      </c>
      <c r="E172" s="57" t="str">
        <f>IF(K172="","",VLOOKUP(F172,Tabelle1!$A$2:$M$496,13,0))</f>
        <v/>
      </c>
      <c r="F172" s="56"/>
      <c r="G172" s="57"/>
      <c r="H172" s="57"/>
      <c r="I172" s="57"/>
      <c r="J172" s="57"/>
      <c r="K172" s="57" t="str">
        <f t="shared" si="10"/>
        <v/>
      </c>
      <c r="L172" s="57" t="str">
        <f>IF(K172="","",VLOOKUP(F172,Tabelle1!$A$2:$I$496,9,0))</f>
        <v/>
      </c>
      <c r="M172" s="57" t="str">
        <f>IF(K172="","",VLOOKUP(F172,Tabelle1!$A$2:$G$496,7,0))</f>
        <v/>
      </c>
      <c r="N172" s="66" t="str">
        <f t="shared" si="11"/>
        <v/>
      </c>
      <c r="O172" s="66" t="str">
        <f>IF(K172="","",((K172*VLOOKUP(F172,Tabelle1!$A$2:$I$496,8,0))/$W$4))</f>
        <v/>
      </c>
      <c r="P172" s="76" t="str">
        <f>IF(K172="","",VLOOKUP(F172,Tabelle1!$A$2:$L$496,12,0))</f>
        <v/>
      </c>
    </row>
    <row r="173" spans="1:16">
      <c r="A173" s="67"/>
      <c r="B173" s="55"/>
      <c r="C173" s="55"/>
      <c r="D173" s="57" t="str">
        <f>IF(K173="","",VLOOKUP(F173,Tabelle1!$A$2:$C$496,3,0))</f>
        <v/>
      </c>
      <c r="E173" s="57" t="str">
        <f>IF(K173="","",VLOOKUP(F173,Tabelle1!$A$2:$M$496,13,0))</f>
        <v/>
      </c>
      <c r="F173" s="56"/>
      <c r="G173" s="57"/>
      <c r="H173" s="57"/>
      <c r="I173" s="57"/>
      <c r="J173" s="57"/>
      <c r="K173" s="57" t="str">
        <f t="shared" si="10"/>
        <v/>
      </c>
      <c r="L173" s="57" t="str">
        <f>IF(K173="","",VLOOKUP(F173,Tabelle1!$A$2:$I$496,9,0))</f>
        <v/>
      </c>
      <c r="M173" s="57" t="str">
        <f>IF(K173="","",VLOOKUP(F173,Tabelle1!$A$2:$G$496,7,0))</f>
        <v/>
      </c>
      <c r="N173" s="66" t="str">
        <f t="shared" si="11"/>
        <v/>
      </c>
      <c r="O173" s="66" t="str">
        <f>IF(K173="","",((K173*VLOOKUP(F173,Tabelle1!$A$2:$I$496,8,0))/$W$4))</f>
        <v/>
      </c>
      <c r="P173" s="76" t="str">
        <f>IF(K173="","",VLOOKUP(F173,Tabelle1!$A$2:$L$496,12,0))</f>
        <v/>
      </c>
    </row>
    <row r="174" spans="1:16">
      <c r="A174" s="67"/>
      <c r="B174" s="55"/>
      <c r="C174" s="55"/>
      <c r="D174" s="57" t="str">
        <f>IF(K174="","",VLOOKUP(F174,Tabelle1!$A$2:$C$496,3,0))</f>
        <v/>
      </c>
      <c r="E174" s="57" t="str">
        <f>IF(K174="","",VLOOKUP(F174,Tabelle1!$A$2:$M$496,13,0))</f>
        <v/>
      </c>
      <c r="F174" s="56"/>
      <c r="G174" s="57"/>
      <c r="H174" s="57"/>
      <c r="I174" s="57"/>
      <c r="J174" s="57"/>
      <c r="K174" s="57" t="str">
        <f t="shared" si="10"/>
        <v/>
      </c>
      <c r="L174" s="57" t="str">
        <f>IF(K174="","",VLOOKUP(F174,Tabelle1!$A$2:$I$496,9,0))</f>
        <v/>
      </c>
      <c r="M174" s="57" t="str">
        <f>IF(K174="","",VLOOKUP(F174,Tabelle1!$A$2:$G$496,7,0))</f>
        <v/>
      </c>
      <c r="N174" s="66" t="str">
        <f t="shared" si="11"/>
        <v/>
      </c>
      <c r="O174" s="66" t="str">
        <f>IF(K174="","",((K174*VLOOKUP(F174,Tabelle1!$A$2:$I$496,8,0))/$W$4))</f>
        <v/>
      </c>
      <c r="P174" s="76" t="str">
        <f>IF(K174="","",VLOOKUP(F174,Tabelle1!$A$2:$L$496,12,0))</f>
        <v/>
      </c>
    </row>
    <row r="175" spans="1:16">
      <c r="A175" s="67"/>
      <c r="B175" s="55"/>
      <c r="C175" s="55"/>
      <c r="D175" s="57" t="str">
        <f>IF(K175="","",VLOOKUP(F175,Tabelle1!$A$2:$C$496,3,0))</f>
        <v/>
      </c>
      <c r="E175" s="57" t="str">
        <f>IF(K175="","",VLOOKUP(F175,Tabelle1!$A$2:$M$496,13,0))</f>
        <v/>
      </c>
      <c r="F175" s="56"/>
      <c r="G175" s="57"/>
      <c r="H175" s="57"/>
      <c r="I175" s="57"/>
      <c r="J175" s="57"/>
      <c r="K175" s="57" t="str">
        <f t="shared" si="10"/>
        <v/>
      </c>
      <c r="L175" s="57" t="str">
        <f>IF(K175="","",VLOOKUP(F175,Tabelle1!$A$2:$I$496,9,0))</f>
        <v/>
      </c>
      <c r="M175" s="57" t="str">
        <f>IF(K175="","",VLOOKUP(F175,Tabelle1!$A$2:$G$496,7,0))</f>
        <v/>
      </c>
      <c r="N175" s="66" t="str">
        <f t="shared" si="11"/>
        <v/>
      </c>
      <c r="O175" s="66" t="str">
        <f>IF(K175="","",((K175*VLOOKUP(F175,Tabelle1!$A$2:$I$496,8,0))/$W$4))</f>
        <v/>
      </c>
      <c r="P175" s="76" t="str">
        <f>IF(K175="","",VLOOKUP(F175,Tabelle1!$A$2:$L$496,12,0))</f>
        <v/>
      </c>
    </row>
    <row r="176" spans="1:16">
      <c r="A176" s="67"/>
      <c r="B176" s="55"/>
      <c r="C176" s="55"/>
      <c r="D176" s="57" t="str">
        <f>IF(K176="","",VLOOKUP(F176,Tabelle1!$A$2:$C$496,3,0))</f>
        <v/>
      </c>
      <c r="E176" s="57" t="str">
        <f>IF(K176="","",VLOOKUP(F176,Tabelle1!$A$2:$M$496,13,0))</f>
        <v/>
      </c>
      <c r="F176" s="56"/>
      <c r="G176" s="57"/>
      <c r="H176" s="57"/>
      <c r="I176" s="57"/>
      <c r="J176" s="57"/>
      <c r="K176" s="57" t="str">
        <f t="shared" si="10"/>
        <v/>
      </c>
      <c r="L176" s="57" t="str">
        <f>IF(K176="","",VLOOKUP(F176,Tabelle1!$A$2:$I$496,9,0))</f>
        <v/>
      </c>
      <c r="M176" s="57" t="str">
        <f>IF(K176="","",VLOOKUP(F176,Tabelle1!$A$2:$G$496,7,0))</f>
        <v/>
      </c>
      <c r="N176" s="66" t="str">
        <f t="shared" si="11"/>
        <v/>
      </c>
      <c r="O176" s="66" t="str">
        <f>IF(K176="","",((K176*VLOOKUP(F176,Tabelle1!$A$2:$I$496,8,0))/$W$4))</f>
        <v/>
      </c>
      <c r="P176" s="76" t="str">
        <f>IF(K176="","",VLOOKUP(F176,Tabelle1!$A$2:$L$496,12,0))</f>
        <v/>
      </c>
    </row>
    <row r="177" spans="1:16">
      <c r="A177" s="67"/>
      <c r="B177" s="55"/>
      <c r="C177" s="55"/>
      <c r="D177" s="57" t="str">
        <f>IF(K177="","",VLOOKUP(F177,Tabelle1!$A$2:$C$496,3,0))</f>
        <v/>
      </c>
      <c r="E177" s="57" t="str">
        <f>IF(K177="","",VLOOKUP(F177,Tabelle1!$A$2:$M$496,13,0))</f>
        <v/>
      </c>
      <c r="F177" s="56"/>
      <c r="G177" s="57"/>
      <c r="H177" s="57"/>
      <c r="I177" s="57"/>
      <c r="J177" s="57"/>
      <c r="K177" s="57" t="str">
        <f t="shared" si="10"/>
        <v/>
      </c>
      <c r="L177" s="57" t="str">
        <f>IF(K177="","",VLOOKUP(F177,Tabelle1!$A$2:$I$496,9,0))</f>
        <v/>
      </c>
      <c r="M177" s="57" t="str">
        <f>IF(K177="","",VLOOKUP(F177,Tabelle1!$A$2:$G$496,7,0))</f>
        <v/>
      </c>
      <c r="N177" s="66" t="str">
        <f t="shared" si="11"/>
        <v/>
      </c>
      <c r="O177" s="66" t="str">
        <f>IF(K177="","",((K177*VLOOKUP(F177,Tabelle1!$A$2:$I$496,8,0))/$W$4))</f>
        <v/>
      </c>
      <c r="P177" s="76" t="str">
        <f>IF(K177="","",VLOOKUP(F177,Tabelle1!$A$2:$L$496,12,0))</f>
        <v/>
      </c>
    </row>
    <row r="178" spans="1:16">
      <c r="A178" s="67"/>
      <c r="B178" s="55"/>
      <c r="C178" s="55"/>
      <c r="D178" s="57" t="str">
        <f>IF(K178="","",VLOOKUP(F178,Tabelle1!$A$2:$C$496,3,0))</f>
        <v/>
      </c>
      <c r="E178" s="57" t="str">
        <f>IF(K178="","",VLOOKUP(F178,Tabelle1!$A$2:$M$496,13,0))</f>
        <v/>
      </c>
      <c r="F178" s="56"/>
      <c r="G178" s="57"/>
      <c r="H178" s="57"/>
      <c r="I178" s="57"/>
      <c r="J178" s="57"/>
      <c r="K178" s="57" t="str">
        <f t="shared" si="10"/>
        <v/>
      </c>
      <c r="L178" s="57" t="str">
        <f>IF(K178="","",VLOOKUP(F178,Tabelle1!$A$2:$I$496,9,0))</f>
        <v/>
      </c>
      <c r="M178" s="57" t="str">
        <f>IF(K178="","",VLOOKUP(F178,Tabelle1!$A$2:$G$496,7,0))</f>
        <v/>
      </c>
      <c r="N178" s="66" t="str">
        <f t="shared" si="11"/>
        <v/>
      </c>
      <c r="O178" s="66" t="str">
        <f>IF(K178="","",((K178*VLOOKUP(F178,Tabelle1!$A$2:$I$496,8,0))/$W$4))</f>
        <v/>
      </c>
      <c r="P178" s="76" t="str">
        <f>IF(K178="","",VLOOKUP(F178,Tabelle1!$A$2:$L$496,12,0))</f>
        <v/>
      </c>
    </row>
    <row r="179" spans="1:16">
      <c r="A179" s="67"/>
      <c r="B179" s="55"/>
      <c r="C179" s="55"/>
      <c r="D179" s="57" t="str">
        <f>IF(K179="","",VLOOKUP(F179,Tabelle1!$A$2:$C$496,3,0))</f>
        <v/>
      </c>
      <c r="E179" s="57" t="str">
        <f>IF(K179="","",VLOOKUP(F179,Tabelle1!$A$2:$M$496,13,0))</f>
        <v/>
      </c>
      <c r="F179" s="56"/>
      <c r="G179" s="57"/>
      <c r="H179" s="57"/>
      <c r="I179" s="57"/>
      <c r="J179" s="57"/>
      <c r="K179" s="57" t="str">
        <f t="shared" si="10"/>
        <v/>
      </c>
      <c r="L179" s="57" t="str">
        <f>IF(K179="","",VLOOKUP(F179,Tabelle1!$A$2:$I$496,9,0))</f>
        <v/>
      </c>
      <c r="M179" s="57" t="str">
        <f>IF(K179="","",VLOOKUP(F179,Tabelle1!$A$2:$G$496,7,0))</f>
        <v/>
      </c>
      <c r="N179" s="66" t="str">
        <f t="shared" si="11"/>
        <v/>
      </c>
      <c r="O179" s="66" t="str">
        <f>IF(K179="","",((K179*VLOOKUP(F179,Tabelle1!$A$2:$I$496,8,0))/$W$4))</f>
        <v/>
      </c>
      <c r="P179" s="76" t="str">
        <f>IF(K179="","",VLOOKUP(F179,Tabelle1!$A$2:$L$496,12,0))</f>
        <v/>
      </c>
    </row>
    <row r="180" spans="1:16">
      <c r="A180" s="67"/>
      <c r="B180" s="55"/>
      <c r="C180" s="55"/>
      <c r="D180" s="57" t="str">
        <f>IF(K180="","",VLOOKUP(F180,Tabelle1!$A$2:$C$496,3,0))</f>
        <v/>
      </c>
      <c r="E180" s="57" t="str">
        <f>IF(K180="","",VLOOKUP(F180,Tabelle1!$A$2:$M$496,13,0))</f>
        <v/>
      </c>
      <c r="F180" s="56"/>
      <c r="G180" s="57"/>
      <c r="H180" s="57"/>
      <c r="I180" s="57"/>
      <c r="J180" s="57"/>
      <c r="K180" s="57" t="str">
        <f t="shared" si="10"/>
        <v/>
      </c>
      <c r="L180" s="57" t="str">
        <f>IF(K180="","",VLOOKUP(F180,Tabelle1!$A$2:$I$496,9,0))</f>
        <v/>
      </c>
      <c r="M180" s="57" t="str">
        <f>IF(K180="","",VLOOKUP(F180,Tabelle1!$A$2:$G$496,7,0))</f>
        <v/>
      </c>
      <c r="N180" s="66" t="str">
        <f t="shared" si="11"/>
        <v/>
      </c>
      <c r="O180" s="66" t="str">
        <f>IF(K180="","",((K180*VLOOKUP(F180,Tabelle1!$A$2:$I$496,8,0))/$W$4))</f>
        <v/>
      </c>
      <c r="P180" s="76" t="str">
        <f>IF(K180="","",VLOOKUP(F180,Tabelle1!$A$2:$L$496,12,0))</f>
        <v/>
      </c>
    </row>
    <row r="181" spans="1:16">
      <c r="A181" s="67"/>
      <c r="B181" s="55"/>
      <c r="C181" s="55"/>
      <c r="D181" s="57" t="str">
        <f>IF(K181="","",VLOOKUP(F181,Tabelle1!$A$2:$C$496,3,0))</f>
        <v/>
      </c>
      <c r="E181" s="57" t="str">
        <f>IF(K181="","",VLOOKUP(F181,Tabelle1!$A$2:$M$496,13,0))</f>
        <v/>
      </c>
      <c r="F181" s="56"/>
      <c r="G181" s="57"/>
      <c r="H181" s="57"/>
      <c r="I181" s="57"/>
      <c r="J181" s="57"/>
      <c r="K181" s="57" t="str">
        <f t="shared" si="10"/>
        <v/>
      </c>
      <c r="L181" s="57" t="str">
        <f>IF(K181="","",VLOOKUP(F181,Tabelle1!$A$2:$I$496,9,0))</f>
        <v/>
      </c>
      <c r="M181" s="57" t="str">
        <f>IF(K181="","",VLOOKUP(F181,Tabelle1!$A$2:$G$496,7,0))</f>
        <v/>
      </c>
      <c r="N181" s="66" t="str">
        <f t="shared" si="11"/>
        <v/>
      </c>
      <c r="O181" s="66" t="str">
        <f>IF(K181="","",((K181*VLOOKUP(F181,Tabelle1!$A$2:$I$496,8,0))/$W$4))</f>
        <v/>
      </c>
      <c r="P181" s="76" t="str">
        <f>IF(K181="","",VLOOKUP(F181,Tabelle1!$A$2:$L$496,12,0))</f>
        <v/>
      </c>
    </row>
    <row r="182" spans="1:16">
      <c r="A182" s="67"/>
      <c r="B182" s="55"/>
      <c r="C182" s="55"/>
      <c r="D182" s="57" t="str">
        <f>IF(K182="","",VLOOKUP(F182,Tabelle1!$A$2:$C$496,3,0))</f>
        <v/>
      </c>
      <c r="E182" s="57" t="str">
        <f>IF(K182="","",VLOOKUP(F182,Tabelle1!$A$2:$M$496,13,0))</f>
        <v/>
      </c>
      <c r="F182" s="56"/>
      <c r="G182" s="57"/>
      <c r="H182" s="57"/>
      <c r="I182" s="57"/>
      <c r="J182" s="57"/>
      <c r="K182" s="57" t="str">
        <f t="shared" si="10"/>
        <v/>
      </c>
      <c r="L182" s="57" t="str">
        <f>IF(K182="","",VLOOKUP(F182,Tabelle1!$A$2:$I$496,9,0))</f>
        <v/>
      </c>
      <c r="M182" s="57" t="str">
        <f>IF(K182="","",VLOOKUP(F182,Tabelle1!$A$2:$G$496,7,0))</f>
        <v/>
      </c>
      <c r="N182" s="66" t="str">
        <f t="shared" si="11"/>
        <v/>
      </c>
      <c r="O182" s="66" t="str">
        <f>IF(K182="","",((K182*VLOOKUP(F182,Tabelle1!$A$2:$I$496,8,0))/$W$4))</f>
        <v/>
      </c>
      <c r="P182" s="76" t="str">
        <f>IF(K182="","",VLOOKUP(F182,Tabelle1!$A$2:$L$496,12,0))</f>
        <v/>
      </c>
    </row>
    <row r="183" spans="1:16">
      <c r="A183" s="67"/>
      <c r="B183" s="55"/>
      <c r="C183" s="55"/>
      <c r="D183" s="57" t="str">
        <f>IF(K183="","",VLOOKUP(F183,Tabelle1!$A$2:$C$496,3,0))</f>
        <v/>
      </c>
      <c r="E183" s="57" t="str">
        <f>IF(K183="","",VLOOKUP(F183,Tabelle1!$A$2:$M$496,13,0))</f>
        <v/>
      </c>
      <c r="F183" s="56"/>
      <c r="G183" s="57"/>
      <c r="H183" s="57"/>
      <c r="I183" s="57"/>
      <c r="J183" s="57"/>
      <c r="K183" s="57" t="str">
        <f t="shared" si="10"/>
        <v/>
      </c>
      <c r="L183" s="57" t="str">
        <f>IF(K183="","",VLOOKUP(F183,Tabelle1!$A$2:$I$496,9,0))</f>
        <v/>
      </c>
      <c r="M183" s="57" t="str">
        <f>IF(K183="","",VLOOKUP(F183,Tabelle1!$A$2:$G$496,7,0))</f>
        <v/>
      </c>
      <c r="N183" s="66" t="str">
        <f t="shared" si="11"/>
        <v/>
      </c>
      <c r="O183" s="66" t="str">
        <f>IF(K183="","",((K183*VLOOKUP(F183,Tabelle1!$A$2:$I$496,8,0))/$W$4))</f>
        <v/>
      </c>
      <c r="P183" s="76" t="str">
        <f>IF(K183="","",VLOOKUP(F183,Tabelle1!$A$2:$L$496,12,0))</f>
        <v/>
      </c>
    </row>
    <row r="184" spans="1:16">
      <c r="A184" s="67"/>
      <c r="B184" s="55"/>
      <c r="C184" s="55"/>
      <c r="D184" s="57" t="str">
        <f>IF(K184="","",VLOOKUP(F184,Tabelle1!$A$2:$C$496,3,0))</f>
        <v/>
      </c>
      <c r="E184" s="57" t="str">
        <f>IF(K184="","",VLOOKUP(F184,Tabelle1!$A$2:$M$496,13,0))</f>
        <v/>
      </c>
      <c r="F184" s="56"/>
      <c r="G184" s="57"/>
      <c r="H184" s="57"/>
      <c r="I184" s="57"/>
      <c r="J184" s="57"/>
      <c r="K184" s="57" t="str">
        <f t="shared" si="10"/>
        <v/>
      </c>
      <c r="L184" s="57" t="str">
        <f>IF(K184="","",VLOOKUP(F184,Tabelle1!$A$2:$I$496,9,0))</f>
        <v/>
      </c>
      <c r="M184" s="57" t="str">
        <f>IF(K184="","",VLOOKUP(F184,Tabelle1!$A$2:$G$496,7,0))</f>
        <v/>
      </c>
      <c r="N184" s="66" t="str">
        <f t="shared" si="11"/>
        <v/>
      </c>
      <c r="O184" s="66" t="str">
        <f>IF(K184="","",((K184*VLOOKUP(F184,Tabelle1!$A$2:$I$496,8,0))/$W$4))</f>
        <v/>
      </c>
      <c r="P184" s="76" t="str">
        <f>IF(K184="","",VLOOKUP(F184,Tabelle1!$A$2:$L$496,12,0))</f>
        <v/>
      </c>
    </row>
    <row r="185" spans="1:16">
      <c r="A185" s="67"/>
      <c r="B185" s="55"/>
      <c r="C185" s="55"/>
      <c r="D185" s="57" t="str">
        <f>IF(K185="","",VLOOKUP(F185,Tabelle1!$A$2:$C$496,3,0))</f>
        <v/>
      </c>
      <c r="E185" s="57" t="str">
        <f>IF(K185="","",VLOOKUP(F185,Tabelle1!$A$2:$M$496,13,0))</f>
        <v/>
      </c>
      <c r="F185" s="56"/>
      <c r="G185" s="57"/>
      <c r="H185" s="57"/>
      <c r="I185" s="57"/>
      <c r="J185" s="57"/>
      <c r="K185" s="57" t="str">
        <f t="shared" si="10"/>
        <v/>
      </c>
      <c r="L185" s="57" t="str">
        <f>IF(K185="","",VLOOKUP(F185,Tabelle1!$A$2:$I$496,9,0))</f>
        <v/>
      </c>
      <c r="M185" s="57" t="str">
        <f>IF(K185="","",VLOOKUP(F185,Tabelle1!$A$2:$G$496,7,0))</f>
        <v/>
      </c>
      <c r="N185" s="66" t="str">
        <f t="shared" si="11"/>
        <v/>
      </c>
      <c r="O185" s="66" t="str">
        <f>IF(K185="","",((K185*VLOOKUP(F185,Tabelle1!$A$2:$I$496,8,0))/$W$4))</f>
        <v/>
      </c>
      <c r="P185" s="76" t="str">
        <f>IF(K185="","",VLOOKUP(F185,Tabelle1!$A$2:$L$496,12,0))</f>
        <v/>
      </c>
    </row>
    <row r="186" spans="1:16">
      <c r="A186" s="67"/>
      <c r="B186" s="55"/>
      <c r="C186" s="55"/>
      <c r="D186" s="57" t="str">
        <f>IF(K186="","",VLOOKUP(F186,Tabelle1!$A$2:$C$496,3,0))</f>
        <v/>
      </c>
      <c r="E186" s="57" t="str">
        <f>IF(K186="","",VLOOKUP(F186,Tabelle1!$A$2:$M$496,13,0))</f>
        <v/>
      </c>
      <c r="F186" s="56"/>
      <c r="G186" s="57"/>
      <c r="H186" s="57"/>
      <c r="I186" s="57"/>
      <c r="J186" s="57"/>
      <c r="K186" s="57" t="str">
        <f t="shared" si="10"/>
        <v/>
      </c>
      <c r="L186" s="57" t="str">
        <f>IF(K186="","",VLOOKUP(F186,Tabelle1!$A$2:$I$496,9,0))</f>
        <v/>
      </c>
      <c r="M186" s="57" t="str">
        <f>IF(K186="","",VLOOKUP(F186,Tabelle1!$A$2:$G$496,7,0))</f>
        <v/>
      </c>
      <c r="N186" s="66" t="str">
        <f t="shared" si="11"/>
        <v/>
      </c>
      <c r="O186" s="66" t="str">
        <f>IF(K186="","",((K186*VLOOKUP(F186,Tabelle1!$A$2:$I$496,8,0))/$W$4))</f>
        <v/>
      </c>
      <c r="P186" s="76" t="str">
        <f>IF(K186="","",VLOOKUP(F186,Tabelle1!$A$2:$L$496,12,0))</f>
        <v/>
      </c>
    </row>
    <row r="187" spans="1:16">
      <c r="A187" s="67"/>
      <c r="B187" s="55"/>
      <c r="C187" s="55"/>
      <c r="D187" s="57" t="str">
        <f>IF(K187="","",VLOOKUP(F187,Tabelle1!$A$2:$C$496,3,0))</f>
        <v/>
      </c>
      <c r="E187" s="57" t="str">
        <f>IF(K187="","",VLOOKUP(F187,Tabelle1!$A$2:$M$496,13,0))</f>
        <v/>
      </c>
      <c r="F187" s="56"/>
      <c r="G187" s="57"/>
      <c r="H187" s="57"/>
      <c r="I187" s="57"/>
      <c r="J187" s="57"/>
      <c r="K187" s="57" t="str">
        <f t="shared" si="10"/>
        <v/>
      </c>
      <c r="L187" s="57" t="str">
        <f>IF(K187="","",VLOOKUP(F187,Tabelle1!$A$2:$I$496,9,0))</f>
        <v/>
      </c>
      <c r="M187" s="57" t="str">
        <f>IF(K187="","",VLOOKUP(F187,Tabelle1!$A$2:$G$496,7,0))</f>
        <v/>
      </c>
      <c r="N187" s="66" t="str">
        <f t="shared" si="11"/>
        <v/>
      </c>
      <c r="O187" s="66" t="str">
        <f>IF(K187="","",((K187*VLOOKUP(F187,Tabelle1!$A$2:$I$496,8,0))/$W$4))</f>
        <v/>
      </c>
      <c r="P187" s="76" t="str">
        <f>IF(K187="","",VLOOKUP(F187,Tabelle1!$A$2:$L$496,12,0))</f>
        <v/>
      </c>
    </row>
    <row r="188" spans="1:16">
      <c r="A188" s="67"/>
      <c r="B188" s="55"/>
      <c r="C188" s="55"/>
      <c r="D188" s="57" t="str">
        <f>IF(K188="","",VLOOKUP(F188,Tabelle1!$A$2:$C$496,3,0))</f>
        <v/>
      </c>
      <c r="E188" s="57" t="str">
        <f>IF(K188="","",VLOOKUP(F188,Tabelle1!$A$2:$M$496,13,0))</f>
        <v/>
      </c>
      <c r="F188" s="56"/>
      <c r="G188" s="57"/>
      <c r="H188" s="57"/>
      <c r="I188" s="57"/>
      <c r="J188" s="57"/>
      <c r="K188" s="57" t="str">
        <f t="shared" si="10"/>
        <v/>
      </c>
      <c r="L188" s="57" t="str">
        <f>IF(K188="","",VLOOKUP(F188,Tabelle1!$A$2:$I$496,9,0))</f>
        <v/>
      </c>
      <c r="M188" s="57" t="str">
        <f>IF(K188="","",VLOOKUP(F188,Tabelle1!$A$2:$G$496,7,0))</f>
        <v/>
      </c>
      <c r="N188" s="66" t="str">
        <f t="shared" si="11"/>
        <v/>
      </c>
      <c r="O188" s="66" t="str">
        <f>IF(K188="","",((K188*VLOOKUP(F188,Tabelle1!$A$2:$I$496,8,0))/$W$4))</f>
        <v/>
      </c>
      <c r="P188" s="76" t="str">
        <f>IF(K188="","",VLOOKUP(F188,Tabelle1!$A$2:$L$496,12,0))</f>
        <v/>
      </c>
    </row>
    <row r="189" spans="1:16">
      <c r="A189" s="67"/>
      <c r="B189" s="55"/>
      <c r="C189" s="55"/>
      <c r="D189" s="57" t="str">
        <f>IF(K189="","",VLOOKUP(F189,Tabelle1!$A$2:$C$496,3,0))</f>
        <v/>
      </c>
      <c r="E189" s="57" t="str">
        <f>IF(K189="","",VLOOKUP(F189,Tabelle1!$A$2:$M$496,13,0))</f>
        <v/>
      </c>
      <c r="F189" s="56"/>
      <c r="G189" s="57"/>
      <c r="H189" s="57"/>
      <c r="I189" s="57"/>
      <c r="J189" s="57"/>
      <c r="K189" s="57" t="str">
        <f t="shared" si="10"/>
        <v/>
      </c>
      <c r="L189" s="57" t="str">
        <f>IF(K189="","",VLOOKUP(F189,Tabelle1!$A$2:$I$496,9,0))</f>
        <v/>
      </c>
      <c r="M189" s="57" t="str">
        <f>IF(K189="","",VLOOKUP(F189,Tabelle1!$A$2:$G$496,7,0))</f>
        <v/>
      </c>
      <c r="N189" s="66" t="str">
        <f t="shared" si="11"/>
        <v/>
      </c>
      <c r="O189" s="66" t="str">
        <f>IF(K189="","",((K189*VLOOKUP(F189,Tabelle1!$A$2:$I$496,8,0))/$W$4))</f>
        <v/>
      </c>
      <c r="P189" s="76" t="str">
        <f>IF(K189="","",VLOOKUP(F189,Tabelle1!$A$2:$L$496,12,0))</f>
        <v/>
      </c>
    </row>
    <row r="190" spans="1:16">
      <c r="A190" s="67"/>
      <c r="B190" s="55"/>
      <c r="C190" s="55"/>
      <c r="D190" s="57" t="str">
        <f>IF(K190="","",VLOOKUP(F190,Tabelle1!$A$2:$C$496,3,0))</f>
        <v/>
      </c>
      <c r="E190" s="57" t="str">
        <f>IF(K190="","",VLOOKUP(F190,Tabelle1!$A$2:$M$496,13,0))</f>
        <v/>
      </c>
      <c r="F190" s="56"/>
      <c r="G190" s="57"/>
      <c r="H190" s="57"/>
      <c r="I190" s="57"/>
      <c r="J190" s="57"/>
      <c r="K190" s="57" t="str">
        <f t="shared" si="10"/>
        <v/>
      </c>
      <c r="L190" s="57" t="str">
        <f>IF(K190="","",VLOOKUP(F190,Tabelle1!$A$2:$I$496,9,0))</f>
        <v/>
      </c>
      <c r="M190" s="57" t="str">
        <f>IF(K190="","",VLOOKUP(F190,Tabelle1!$A$2:$G$496,7,0))</f>
        <v/>
      </c>
      <c r="N190" s="66" t="str">
        <f t="shared" si="11"/>
        <v/>
      </c>
      <c r="O190" s="66" t="str">
        <f>IF(K190="","",((K190*VLOOKUP(F190,Tabelle1!$A$2:$I$496,8,0))/$W$4))</f>
        <v/>
      </c>
      <c r="P190" s="76" t="str">
        <f>IF(K190="","",VLOOKUP(F190,Tabelle1!$A$2:$L$496,12,0))</f>
        <v/>
      </c>
    </row>
    <row r="191" spans="1:16">
      <c r="A191" s="67"/>
      <c r="B191" s="55"/>
      <c r="C191" s="55"/>
      <c r="D191" s="57" t="str">
        <f>IF(K191="","",VLOOKUP(F191,Tabelle1!$A$2:$C$496,3,0))</f>
        <v/>
      </c>
      <c r="E191" s="57" t="str">
        <f>IF(K191="","",VLOOKUP(F191,Tabelle1!$A$2:$M$496,13,0))</f>
        <v/>
      </c>
      <c r="F191" s="56"/>
      <c r="G191" s="57"/>
      <c r="H191" s="57"/>
      <c r="I191" s="57"/>
      <c r="J191" s="57"/>
      <c r="K191" s="57" t="str">
        <f t="shared" si="10"/>
        <v/>
      </c>
      <c r="L191" s="57" t="str">
        <f>IF(K191="","",VLOOKUP(F191,Tabelle1!$A$2:$I$496,9,0))</f>
        <v/>
      </c>
      <c r="M191" s="57" t="str">
        <f>IF(K191="","",VLOOKUP(F191,Tabelle1!$A$2:$G$496,7,0))</f>
        <v/>
      </c>
      <c r="N191" s="66" t="str">
        <f t="shared" si="11"/>
        <v/>
      </c>
      <c r="O191" s="66" t="str">
        <f>IF(K191="","",((K191*VLOOKUP(F191,Tabelle1!$A$2:$I$496,8,0))/$W$4))</f>
        <v/>
      </c>
      <c r="P191" s="76" t="str">
        <f>IF(K191="","",VLOOKUP(F191,Tabelle1!$A$2:$L$496,12,0))</f>
        <v/>
      </c>
    </row>
    <row r="192" spans="1:16">
      <c r="A192" s="67"/>
      <c r="B192" s="55"/>
      <c r="C192" s="55"/>
      <c r="D192" s="57" t="str">
        <f>IF(K192="","",VLOOKUP(F192,Tabelle1!$A$2:$C$496,3,0))</f>
        <v/>
      </c>
      <c r="E192" s="57" t="str">
        <f>IF(K192="","",VLOOKUP(F192,Tabelle1!$A$2:$M$496,13,0))</f>
        <v/>
      </c>
      <c r="F192" s="56"/>
      <c r="G192" s="57"/>
      <c r="H192" s="57"/>
      <c r="I192" s="57"/>
      <c r="J192" s="57"/>
      <c r="K192" s="57" t="str">
        <f t="shared" si="10"/>
        <v/>
      </c>
      <c r="L192" s="57" t="str">
        <f>IF(K192="","",VLOOKUP(F192,Tabelle1!$A$2:$I$496,9,0))</f>
        <v/>
      </c>
      <c r="M192" s="57" t="str">
        <f>IF(K192="","",VLOOKUP(F192,Tabelle1!$A$2:$G$496,7,0))</f>
        <v/>
      </c>
      <c r="N192" s="66" t="str">
        <f t="shared" si="11"/>
        <v/>
      </c>
      <c r="O192" s="66" t="str">
        <f>IF(K192="","",((K192*VLOOKUP(F192,Tabelle1!$A$2:$I$496,8,0))/$W$4))</f>
        <v/>
      </c>
      <c r="P192" s="76" t="str">
        <f>IF(K192="","",VLOOKUP(F192,Tabelle1!$A$2:$L$496,12,0))</f>
        <v/>
      </c>
    </row>
    <row r="193" spans="1:16">
      <c r="A193" s="67"/>
      <c r="B193" s="55"/>
      <c r="C193" s="55"/>
      <c r="D193" s="57" t="str">
        <f>IF(K193="","",VLOOKUP(F193,Tabelle1!$A$2:$C$496,3,0))</f>
        <v/>
      </c>
      <c r="E193" s="57" t="str">
        <f>IF(K193="","",VLOOKUP(F193,Tabelle1!$A$2:$M$496,13,0))</f>
        <v/>
      </c>
      <c r="F193" s="56"/>
      <c r="G193" s="57"/>
      <c r="H193" s="57"/>
      <c r="I193" s="57"/>
      <c r="J193" s="57"/>
      <c r="K193" s="57" t="str">
        <f t="shared" si="10"/>
        <v/>
      </c>
      <c r="L193" s="57" t="str">
        <f>IF(K193="","",VLOOKUP(F193,Tabelle1!$A$2:$I$496,9,0))</f>
        <v/>
      </c>
      <c r="M193" s="57" t="str">
        <f>IF(K193="","",VLOOKUP(F193,Tabelle1!$A$2:$G$496,7,0))</f>
        <v/>
      </c>
      <c r="N193" s="66" t="str">
        <f t="shared" si="11"/>
        <v/>
      </c>
      <c r="O193" s="66" t="str">
        <f>IF(K193="","",((K193*VLOOKUP(F193,Tabelle1!$A$2:$I$496,8,0))/$W$4))</f>
        <v/>
      </c>
      <c r="P193" s="76" t="str">
        <f>IF(K193="","",VLOOKUP(F193,Tabelle1!$A$2:$L$496,12,0))</f>
        <v/>
      </c>
    </row>
    <row r="194" spans="1:16">
      <c r="A194" s="67"/>
      <c r="B194" s="55"/>
      <c r="C194" s="55"/>
      <c r="D194" s="57" t="str">
        <f>IF(K194="","",VLOOKUP(F194,Tabelle1!$A$2:$C$496,3,0))</f>
        <v/>
      </c>
      <c r="E194" s="57" t="str">
        <f>IF(K194="","",VLOOKUP(F194,Tabelle1!$A$2:$M$496,13,0))</f>
        <v/>
      </c>
      <c r="F194" s="56"/>
      <c r="G194" s="57"/>
      <c r="H194" s="57"/>
      <c r="I194" s="57"/>
      <c r="J194" s="57"/>
      <c r="K194" s="57" t="str">
        <f t="shared" si="10"/>
        <v/>
      </c>
      <c r="L194" s="57" t="str">
        <f>IF(K194="","",VLOOKUP(F194,Tabelle1!$A$2:$I$496,9,0))</f>
        <v/>
      </c>
      <c r="M194" s="57" t="str">
        <f>IF(K194="","",VLOOKUP(F194,Tabelle1!$A$2:$G$496,7,0))</f>
        <v/>
      </c>
      <c r="N194" s="66" t="str">
        <f t="shared" si="11"/>
        <v/>
      </c>
      <c r="O194" s="66" t="str">
        <f>IF(K194="","",((K194*VLOOKUP(F194,Tabelle1!$A$2:$I$496,8,0))/$W$4))</f>
        <v/>
      </c>
      <c r="P194" s="76" t="str">
        <f>IF(K194="","",VLOOKUP(F194,Tabelle1!$A$2:$L$496,12,0))</f>
        <v/>
      </c>
    </row>
    <row r="195" spans="1:16">
      <c r="A195" s="67"/>
      <c r="B195" s="55"/>
      <c r="C195" s="55"/>
      <c r="D195" s="57" t="str">
        <f>IF(K195="","",VLOOKUP(F195,Tabelle1!$A$2:$C$496,3,0))</f>
        <v/>
      </c>
      <c r="E195" s="57" t="str">
        <f>IF(K195="","",VLOOKUP(F195,Tabelle1!$A$2:$M$496,13,0))</f>
        <v/>
      </c>
      <c r="F195" s="56"/>
      <c r="G195" s="57"/>
      <c r="H195" s="57"/>
      <c r="I195" s="57"/>
      <c r="J195" s="57"/>
      <c r="K195" s="57" t="str">
        <f t="shared" si="10"/>
        <v/>
      </c>
      <c r="L195" s="57" t="str">
        <f>IF(K195="","",VLOOKUP(F195,Tabelle1!$A$2:$I$496,9,0))</f>
        <v/>
      </c>
      <c r="M195" s="57" t="str">
        <f>IF(K195="","",VLOOKUP(F195,Tabelle1!$A$2:$G$496,7,0))</f>
        <v/>
      </c>
      <c r="N195" s="66" t="str">
        <f t="shared" si="11"/>
        <v/>
      </c>
      <c r="O195" s="66" t="str">
        <f>IF(K195="","",((K195*VLOOKUP(F195,Tabelle1!$A$2:$I$496,8,0))/$W$4))</f>
        <v/>
      </c>
      <c r="P195" s="76" t="str">
        <f>IF(K195="","",VLOOKUP(F195,Tabelle1!$A$2:$L$496,12,0))</f>
        <v/>
      </c>
    </row>
    <row r="196" spans="1:16">
      <c r="A196" s="67"/>
      <c r="B196" s="55"/>
      <c r="C196" s="55"/>
      <c r="D196" s="57" t="str">
        <f>IF(K196="","",VLOOKUP(F196,Tabelle1!$A$2:$C$496,3,0))</f>
        <v/>
      </c>
      <c r="E196" s="57" t="str">
        <f>IF(K196="","",VLOOKUP(F196,Tabelle1!$A$2:$M$496,13,0))</f>
        <v/>
      </c>
      <c r="F196" s="56"/>
      <c r="G196" s="57"/>
      <c r="H196" s="57"/>
      <c r="I196" s="57"/>
      <c r="J196" s="57"/>
      <c r="K196" s="57" t="str">
        <f t="shared" si="10"/>
        <v/>
      </c>
      <c r="L196" s="57" t="str">
        <f>IF(K196="","",VLOOKUP(F196,Tabelle1!$A$2:$I$496,9,0))</f>
        <v/>
      </c>
      <c r="M196" s="57" t="str">
        <f>IF(K196="","",VLOOKUP(F196,Tabelle1!$A$2:$G$496,7,0))</f>
        <v/>
      </c>
      <c r="N196" s="66" t="str">
        <f t="shared" si="11"/>
        <v/>
      </c>
      <c r="O196" s="66" t="str">
        <f>IF(K196="","",((K196*VLOOKUP(F196,Tabelle1!$A$2:$I$496,8,0))/$W$4))</f>
        <v/>
      </c>
      <c r="P196" s="76" t="str">
        <f>IF(K196="","",VLOOKUP(F196,Tabelle1!$A$2:$L$496,12,0))</f>
        <v/>
      </c>
    </row>
    <row r="197" spans="1:16">
      <c r="A197" s="67"/>
      <c r="B197" s="55"/>
      <c r="C197" s="55"/>
      <c r="D197" s="57" t="str">
        <f>IF(K197="","",VLOOKUP(F197,Tabelle1!$A$2:$C$496,3,0))</f>
        <v/>
      </c>
      <c r="E197" s="57" t="str">
        <f>IF(K197="","",VLOOKUP(F197,Tabelle1!$A$2:$M$496,13,0))</f>
        <v/>
      </c>
      <c r="F197" s="56"/>
      <c r="G197" s="57"/>
      <c r="H197" s="57"/>
      <c r="I197" s="57"/>
      <c r="J197" s="57"/>
      <c r="K197" s="57" t="str">
        <f t="shared" ref="K197:K260" si="12">IF(F197="","",C197*G197*H197)</f>
        <v/>
      </c>
      <c r="L197" s="57" t="str">
        <f>IF(K197="","",VLOOKUP(F197,Tabelle1!$A$2:$I$496,9,0))</f>
        <v/>
      </c>
      <c r="M197" s="57" t="str">
        <f>IF(K197="","",VLOOKUP(F197,Tabelle1!$A$2:$G$496,7,0))</f>
        <v/>
      </c>
      <c r="N197" s="66" t="str">
        <f t="shared" ref="N197:N260" si="13">IF(M197&gt;0,O197,"")</f>
        <v/>
      </c>
      <c r="O197" s="66" t="str">
        <f>IF(K197="","",((K197*VLOOKUP(F197,Tabelle1!$A$2:$I$496,8,0))/$W$4))</f>
        <v/>
      </c>
      <c r="P197" s="76" t="str">
        <f>IF(K197="","",VLOOKUP(F197,Tabelle1!$A$2:$L$496,12,0))</f>
        <v/>
      </c>
    </row>
    <row r="198" spans="1:16">
      <c r="A198" s="67"/>
      <c r="B198" s="55"/>
      <c r="C198" s="55"/>
      <c r="D198" s="57" t="str">
        <f>IF(K198="","",VLOOKUP(F198,Tabelle1!$A$2:$C$496,3,0))</f>
        <v/>
      </c>
      <c r="E198" s="57" t="str">
        <f>IF(K198="","",VLOOKUP(F198,Tabelle1!$A$2:$M$496,13,0))</f>
        <v/>
      </c>
      <c r="F198" s="56"/>
      <c r="G198" s="57"/>
      <c r="H198" s="57"/>
      <c r="I198" s="57"/>
      <c r="J198" s="57"/>
      <c r="K198" s="57" t="str">
        <f t="shared" si="12"/>
        <v/>
      </c>
      <c r="L198" s="57" t="str">
        <f>IF(K198="","",VLOOKUP(F198,Tabelle1!$A$2:$I$496,9,0))</f>
        <v/>
      </c>
      <c r="M198" s="57" t="str">
        <f>IF(K198="","",VLOOKUP(F198,Tabelle1!$A$2:$G$496,7,0))</f>
        <v/>
      </c>
      <c r="N198" s="66" t="str">
        <f t="shared" si="13"/>
        <v/>
      </c>
      <c r="O198" s="66" t="str">
        <f>IF(K198="","",((K198*VLOOKUP(F198,Tabelle1!$A$2:$I$496,8,0))/$W$4))</f>
        <v/>
      </c>
      <c r="P198" s="76" t="str">
        <f>IF(K198="","",VLOOKUP(F198,Tabelle1!$A$2:$L$496,12,0))</f>
        <v/>
      </c>
    </row>
    <row r="199" spans="1:16">
      <c r="A199" s="67"/>
      <c r="B199" s="55"/>
      <c r="C199" s="55"/>
      <c r="D199" s="57" t="str">
        <f>IF(K199="","",VLOOKUP(F199,Tabelle1!$A$2:$C$496,3,0))</f>
        <v/>
      </c>
      <c r="E199" s="57" t="str">
        <f>IF(K199="","",VLOOKUP(F199,Tabelle1!$A$2:$M$496,13,0))</f>
        <v/>
      </c>
      <c r="F199" s="56"/>
      <c r="G199" s="57"/>
      <c r="H199" s="57"/>
      <c r="I199" s="57"/>
      <c r="J199" s="57"/>
      <c r="K199" s="57" t="str">
        <f t="shared" si="12"/>
        <v/>
      </c>
      <c r="L199" s="57" t="str">
        <f>IF(K199="","",VLOOKUP(F199,Tabelle1!$A$2:$I$496,9,0))</f>
        <v/>
      </c>
      <c r="M199" s="57" t="str">
        <f>IF(K199="","",VLOOKUP(F199,Tabelle1!$A$2:$G$496,7,0))</f>
        <v/>
      </c>
      <c r="N199" s="66" t="str">
        <f t="shared" si="13"/>
        <v/>
      </c>
      <c r="O199" s="66" t="str">
        <f>IF(K199="","",((K199*VLOOKUP(F199,Tabelle1!$A$2:$I$496,8,0))/$W$4))</f>
        <v/>
      </c>
      <c r="P199" s="76" t="str">
        <f>IF(K199="","",VLOOKUP(F199,Tabelle1!$A$2:$L$496,12,0))</f>
        <v/>
      </c>
    </row>
    <row r="200" spans="1:16">
      <c r="A200" s="67"/>
      <c r="B200" s="55"/>
      <c r="C200" s="55"/>
      <c r="D200" s="57" t="str">
        <f>IF(K200="","",VLOOKUP(F200,Tabelle1!$A$2:$C$496,3,0))</f>
        <v/>
      </c>
      <c r="E200" s="57" t="str">
        <f>IF(K200="","",VLOOKUP(F200,Tabelle1!$A$2:$M$496,13,0))</f>
        <v/>
      </c>
      <c r="F200" s="56"/>
      <c r="G200" s="57"/>
      <c r="H200" s="57"/>
      <c r="I200" s="57"/>
      <c r="J200" s="57"/>
      <c r="K200" s="57" t="str">
        <f t="shared" si="12"/>
        <v/>
      </c>
      <c r="L200" s="57" t="str">
        <f>IF(K200="","",VLOOKUP(F200,Tabelle1!$A$2:$I$496,9,0))</f>
        <v/>
      </c>
      <c r="M200" s="57" t="str">
        <f>IF(K200="","",VLOOKUP(F200,Tabelle1!$A$2:$G$496,7,0))</f>
        <v/>
      </c>
      <c r="N200" s="66" t="str">
        <f t="shared" si="13"/>
        <v/>
      </c>
      <c r="O200" s="66" t="str">
        <f>IF(K200="","",((K200*VLOOKUP(F200,Tabelle1!$A$2:$I$496,8,0))/$W$4))</f>
        <v/>
      </c>
      <c r="P200" s="76" t="str">
        <f>IF(K200="","",VLOOKUP(F200,Tabelle1!$A$2:$L$496,12,0))</f>
        <v/>
      </c>
    </row>
    <row r="201" spans="1:16">
      <c r="A201" s="67"/>
      <c r="B201" s="55"/>
      <c r="C201" s="55"/>
      <c r="D201" s="57" t="str">
        <f>IF(K201="","",VLOOKUP(F201,Tabelle1!$A$2:$C$496,3,0))</f>
        <v/>
      </c>
      <c r="E201" s="57" t="str">
        <f>IF(K201="","",VLOOKUP(F201,Tabelle1!$A$2:$M$496,13,0))</f>
        <v/>
      </c>
      <c r="F201" s="56"/>
      <c r="G201" s="57"/>
      <c r="H201" s="57"/>
      <c r="I201" s="57"/>
      <c r="J201" s="57"/>
      <c r="K201" s="57" t="str">
        <f t="shared" si="12"/>
        <v/>
      </c>
      <c r="L201" s="57" t="str">
        <f>IF(K201="","",VLOOKUP(F201,Tabelle1!$A$2:$I$496,9,0))</f>
        <v/>
      </c>
      <c r="M201" s="57" t="str">
        <f>IF(K201="","",VLOOKUP(F201,Tabelle1!$A$2:$G$496,7,0))</f>
        <v/>
      </c>
      <c r="N201" s="66" t="str">
        <f t="shared" si="13"/>
        <v/>
      </c>
      <c r="O201" s="66" t="str">
        <f>IF(K201="","",((K201*VLOOKUP(F201,Tabelle1!$A$2:$I$496,8,0))/$W$4))</f>
        <v/>
      </c>
      <c r="P201" s="76" t="str">
        <f>IF(K201="","",VLOOKUP(F201,Tabelle1!$A$2:$L$496,12,0))</f>
        <v/>
      </c>
    </row>
    <row r="202" spans="1:16">
      <c r="A202" s="67"/>
      <c r="B202" s="55"/>
      <c r="C202" s="55"/>
      <c r="D202" s="57" t="str">
        <f>IF(K202="","",VLOOKUP(F202,Tabelle1!$A$2:$C$496,3,0))</f>
        <v/>
      </c>
      <c r="E202" s="57" t="str">
        <f>IF(K202="","",VLOOKUP(F202,Tabelle1!$A$2:$M$496,13,0))</f>
        <v/>
      </c>
      <c r="F202" s="56"/>
      <c r="G202" s="57"/>
      <c r="H202" s="57"/>
      <c r="I202" s="57"/>
      <c r="J202" s="57"/>
      <c r="K202" s="57" t="str">
        <f t="shared" si="12"/>
        <v/>
      </c>
      <c r="L202" s="57" t="str">
        <f>IF(K202="","",VLOOKUP(F202,Tabelle1!$A$2:$I$496,9,0))</f>
        <v/>
      </c>
      <c r="M202" s="57" t="str">
        <f>IF(K202="","",VLOOKUP(F202,Tabelle1!$A$2:$G$496,7,0))</f>
        <v/>
      </c>
      <c r="N202" s="66" t="str">
        <f t="shared" si="13"/>
        <v/>
      </c>
      <c r="O202" s="66" t="str">
        <f>IF(K202="","",((K202*VLOOKUP(F202,Tabelle1!$A$2:$I$496,8,0))/$W$4))</f>
        <v/>
      </c>
      <c r="P202" s="76" t="str">
        <f>IF(K202="","",VLOOKUP(F202,Tabelle1!$A$2:$L$496,12,0))</f>
        <v/>
      </c>
    </row>
    <row r="203" spans="1:16">
      <c r="A203" s="67"/>
      <c r="B203" s="55"/>
      <c r="C203" s="55"/>
      <c r="D203" s="57" t="str">
        <f>IF(K203="","",VLOOKUP(F203,Tabelle1!$A$2:$C$496,3,0))</f>
        <v/>
      </c>
      <c r="E203" s="57" t="str">
        <f>IF(K203="","",VLOOKUP(F203,Tabelle1!$A$2:$M$496,13,0))</f>
        <v/>
      </c>
      <c r="F203" s="56"/>
      <c r="G203" s="57"/>
      <c r="H203" s="57"/>
      <c r="I203" s="57"/>
      <c r="J203" s="57"/>
      <c r="K203" s="57" t="str">
        <f t="shared" si="12"/>
        <v/>
      </c>
      <c r="L203" s="57" t="str">
        <f>IF(K203="","",VLOOKUP(F203,Tabelle1!$A$2:$I$496,9,0))</f>
        <v/>
      </c>
      <c r="M203" s="57" t="str">
        <f>IF(K203="","",VLOOKUP(F203,Tabelle1!$A$2:$G$496,7,0))</f>
        <v/>
      </c>
      <c r="N203" s="66" t="str">
        <f t="shared" si="13"/>
        <v/>
      </c>
      <c r="O203" s="66" t="str">
        <f>IF(K203="","",((K203*VLOOKUP(F203,Tabelle1!$A$2:$I$496,8,0))/$W$4))</f>
        <v/>
      </c>
      <c r="P203" s="76" t="str">
        <f>IF(K203="","",VLOOKUP(F203,Tabelle1!$A$2:$L$496,12,0))</f>
        <v/>
      </c>
    </row>
    <row r="204" spans="1:16">
      <c r="A204" s="67"/>
      <c r="B204" s="55"/>
      <c r="C204" s="55"/>
      <c r="D204" s="57" t="str">
        <f>IF(K204="","",VLOOKUP(F204,Tabelle1!$A$2:$C$496,3,0))</f>
        <v/>
      </c>
      <c r="E204" s="57" t="str">
        <f>IF(K204="","",VLOOKUP(F204,Tabelle1!$A$2:$M$496,13,0))</f>
        <v/>
      </c>
      <c r="F204" s="56"/>
      <c r="G204" s="57"/>
      <c r="H204" s="57"/>
      <c r="I204" s="57"/>
      <c r="J204" s="57"/>
      <c r="K204" s="57" t="str">
        <f t="shared" si="12"/>
        <v/>
      </c>
      <c r="L204" s="57" t="str">
        <f>IF(K204="","",VLOOKUP(F204,Tabelle1!$A$2:$I$496,9,0))</f>
        <v/>
      </c>
      <c r="M204" s="57" t="str">
        <f>IF(K204="","",VLOOKUP(F204,Tabelle1!$A$2:$G$496,7,0))</f>
        <v/>
      </c>
      <c r="N204" s="66" t="str">
        <f t="shared" si="13"/>
        <v/>
      </c>
      <c r="O204" s="66" t="str">
        <f>IF(K204="","",((K204*VLOOKUP(F204,Tabelle1!$A$2:$I$496,8,0))/$W$4))</f>
        <v/>
      </c>
      <c r="P204" s="76" t="str">
        <f>IF(K204="","",VLOOKUP(F204,Tabelle1!$A$2:$L$496,12,0))</f>
        <v/>
      </c>
    </row>
    <row r="205" spans="1:16">
      <c r="A205" s="67"/>
      <c r="B205" s="55"/>
      <c r="C205" s="55"/>
      <c r="D205" s="57" t="str">
        <f>IF(K205="","",VLOOKUP(F205,Tabelle1!$A$2:$C$496,3,0))</f>
        <v/>
      </c>
      <c r="E205" s="57" t="str">
        <f>IF(K205="","",VLOOKUP(F205,Tabelle1!$A$2:$M$496,13,0))</f>
        <v/>
      </c>
      <c r="F205" s="56"/>
      <c r="G205" s="57"/>
      <c r="H205" s="57"/>
      <c r="I205" s="57"/>
      <c r="J205" s="57"/>
      <c r="K205" s="57" t="str">
        <f t="shared" si="12"/>
        <v/>
      </c>
      <c r="L205" s="57" t="str">
        <f>IF(K205="","",VLOOKUP(F205,Tabelle1!$A$2:$I$496,9,0))</f>
        <v/>
      </c>
      <c r="M205" s="57" t="str">
        <f>IF(K205="","",VLOOKUP(F205,Tabelle1!$A$2:$G$496,7,0))</f>
        <v/>
      </c>
      <c r="N205" s="66" t="str">
        <f t="shared" si="13"/>
        <v/>
      </c>
      <c r="O205" s="66" t="str">
        <f>IF(K205="","",((K205*VLOOKUP(F205,Tabelle1!$A$2:$I$496,8,0))/$W$4))</f>
        <v/>
      </c>
      <c r="P205" s="76" t="str">
        <f>IF(K205="","",VLOOKUP(F205,Tabelle1!$A$2:$L$496,12,0))</f>
        <v/>
      </c>
    </row>
    <row r="206" spans="1:16">
      <c r="A206" s="67"/>
      <c r="B206" s="55"/>
      <c r="C206" s="55"/>
      <c r="D206" s="57" t="str">
        <f>IF(K206="","",VLOOKUP(F206,Tabelle1!$A$2:$C$496,3,0))</f>
        <v/>
      </c>
      <c r="E206" s="57" t="str">
        <f>IF(K206="","",VLOOKUP(F206,Tabelle1!$A$2:$M$496,13,0))</f>
        <v/>
      </c>
      <c r="F206" s="56"/>
      <c r="G206" s="57"/>
      <c r="H206" s="57"/>
      <c r="I206" s="57"/>
      <c r="J206" s="57"/>
      <c r="K206" s="57" t="str">
        <f t="shared" si="12"/>
        <v/>
      </c>
      <c r="L206" s="57" t="str">
        <f>IF(K206="","",VLOOKUP(F206,Tabelle1!$A$2:$I$496,9,0))</f>
        <v/>
      </c>
      <c r="M206" s="57" t="str">
        <f>IF(K206="","",VLOOKUP(F206,Tabelle1!$A$2:$G$496,7,0))</f>
        <v/>
      </c>
      <c r="N206" s="66" t="str">
        <f t="shared" si="13"/>
        <v/>
      </c>
      <c r="O206" s="66" t="str">
        <f>IF(K206="","",((K206*VLOOKUP(F206,Tabelle1!$A$2:$I$496,8,0))/$W$4))</f>
        <v/>
      </c>
      <c r="P206" s="76" t="str">
        <f>IF(K206="","",VLOOKUP(F206,Tabelle1!$A$2:$L$496,12,0))</f>
        <v/>
      </c>
    </row>
    <row r="207" spans="1:16">
      <c r="A207" s="67"/>
      <c r="B207" s="55"/>
      <c r="C207" s="55"/>
      <c r="D207" s="57" t="str">
        <f>IF(K207="","",VLOOKUP(F207,Tabelle1!$A$2:$C$496,3,0))</f>
        <v/>
      </c>
      <c r="E207" s="57" t="str">
        <f>IF(K207="","",VLOOKUP(F207,Tabelle1!$A$2:$M$496,13,0))</f>
        <v/>
      </c>
      <c r="F207" s="56"/>
      <c r="G207" s="57"/>
      <c r="H207" s="57"/>
      <c r="I207" s="57"/>
      <c r="J207" s="57"/>
      <c r="K207" s="57" t="str">
        <f t="shared" si="12"/>
        <v/>
      </c>
      <c r="L207" s="57" t="str">
        <f>IF(K207="","",VLOOKUP(F207,Tabelle1!$A$2:$I$496,9,0))</f>
        <v/>
      </c>
      <c r="M207" s="57" t="str">
        <f>IF(K207="","",VLOOKUP(F207,Tabelle1!$A$2:$G$496,7,0))</f>
        <v/>
      </c>
      <c r="N207" s="66" t="str">
        <f t="shared" si="13"/>
        <v/>
      </c>
      <c r="O207" s="66" t="str">
        <f>IF(K207="","",((K207*VLOOKUP(F207,Tabelle1!$A$2:$I$496,8,0))/$W$4))</f>
        <v/>
      </c>
      <c r="P207" s="76" t="str">
        <f>IF(K207="","",VLOOKUP(F207,Tabelle1!$A$2:$L$496,12,0))</f>
        <v/>
      </c>
    </row>
    <row r="208" spans="1:16">
      <c r="A208" s="67"/>
      <c r="B208" s="55"/>
      <c r="C208" s="55"/>
      <c r="D208" s="57" t="str">
        <f>IF(K208="","",VLOOKUP(F208,Tabelle1!$A$2:$C$496,3,0))</f>
        <v/>
      </c>
      <c r="E208" s="57" t="str">
        <f>IF(K208="","",VLOOKUP(F208,Tabelle1!$A$2:$M$496,13,0))</f>
        <v/>
      </c>
      <c r="F208" s="56"/>
      <c r="G208" s="57"/>
      <c r="H208" s="57"/>
      <c r="I208" s="57"/>
      <c r="J208" s="57"/>
      <c r="K208" s="57" t="str">
        <f t="shared" si="12"/>
        <v/>
      </c>
      <c r="L208" s="57" t="str">
        <f>IF(K208="","",VLOOKUP(F208,Tabelle1!$A$2:$I$496,9,0))</f>
        <v/>
      </c>
      <c r="M208" s="57" t="str">
        <f>IF(K208="","",VLOOKUP(F208,Tabelle1!$A$2:$G$496,7,0))</f>
        <v/>
      </c>
      <c r="N208" s="66" t="str">
        <f t="shared" si="13"/>
        <v/>
      </c>
      <c r="O208" s="66" t="str">
        <f>IF(K208="","",((K208*VLOOKUP(F208,Tabelle1!$A$2:$I$496,8,0))/$W$4))</f>
        <v/>
      </c>
      <c r="P208" s="76" t="str">
        <f>IF(K208="","",VLOOKUP(F208,Tabelle1!$A$2:$L$496,12,0))</f>
        <v/>
      </c>
    </row>
    <row r="209" spans="1:16">
      <c r="A209" s="67"/>
      <c r="B209" s="55"/>
      <c r="C209" s="55"/>
      <c r="D209" s="57" t="str">
        <f>IF(K209="","",VLOOKUP(F209,Tabelle1!$A$2:$C$496,3,0))</f>
        <v/>
      </c>
      <c r="E209" s="57" t="str">
        <f>IF(K209="","",VLOOKUP(F209,Tabelle1!$A$2:$M$496,13,0))</f>
        <v/>
      </c>
      <c r="F209" s="56"/>
      <c r="G209" s="57"/>
      <c r="H209" s="57"/>
      <c r="I209" s="57"/>
      <c r="J209" s="57"/>
      <c r="K209" s="57" t="str">
        <f t="shared" si="12"/>
        <v/>
      </c>
      <c r="L209" s="57" t="str">
        <f>IF(K209="","",VLOOKUP(F209,Tabelle1!$A$2:$I$496,9,0))</f>
        <v/>
      </c>
      <c r="M209" s="57" t="str">
        <f>IF(K209="","",VLOOKUP(F209,Tabelle1!$A$2:$G$496,7,0))</f>
        <v/>
      </c>
      <c r="N209" s="66" t="str">
        <f t="shared" si="13"/>
        <v/>
      </c>
      <c r="O209" s="66" t="str">
        <f>IF(K209="","",((K209*VLOOKUP(F209,Tabelle1!$A$2:$I$496,8,0))/$W$4))</f>
        <v/>
      </c>
      <c r="P209" s="76" t="str">
        <f>IF(K209="","",VLOOKUP(F209,Tabelle1!$A$2:$L$496,12,0))</f>
        <v/>
      </c>
    </row>
    <row r="210" spans="1:16">
      <c r="A210" s="67"/>
      <c r="B210" s="55"/>
      <c r="C210" s="55"/>
      <c r="D210" s="57" t="str">
        <f>IF(K210="","",VLOOKUP(F210,Tabelle1!$A$2:$C$496,3,0))</f>
        <v/>
      </c>
      <c r="E210" s="57" t="str">
        <f>IF(K210="","",VLOOKUP(F210,Tabelle1!$A$2:$M$496,13,0))</f>
        <v/>
      </c>
      <c r="F210" s="56"/>
      <c r="G210" s="57"/>
      <c r="H210" s="57"/>
      <c r="I210" s="57"/>
      <c r="J210" s="57"/>
      <c r="K210" s="57" t="str">
        <f t="shared" si="12"/>
        <v/>
      </c>
      <c r="L210" s="57" t="str">
        <f>IF(K210="","",VLOOKUP(F210,Tabelle1!$A$2:$I$496,9,0))</f>
        <v/>
      </c>
      <c r="M210" s="57" t="str">
        <f>IF(K210="","",VLOOKUP(F210,Tabelle1!$A$2:$G$496,7,0))</f>
        <v/>
      </c>
      <c r="N210" s="66" t="str">
        <f t="shared" si="13"/>
        <v/>
      </c>
      <c r="O210" s="66" t="str">
        <f>IF(K210="","",((K210*VLOOKUP(F210,Tabelle1!$A$2:$I$496,8,0))/$W$4))</f>
        <v/>
      </c>
      <c r="P210" s="76" t="str">
        <f>IF(K210="","",VLOOKUP(F210,Tabelle1!$A$2:$L$496,12,0))</f>
        <v/>
      </c>
    </row>
    <row r="211" spans="1:16">
      <c r="A211" s="67"/>
      <c r="B211" s="55"/>
      <c r="C211" s="55"/>
      <c r="D211" s="57" t="str">
        <f>IF(K211="","",VLOOKUP(F211,Tabelle1!$A$2:$C$496,3,0))</f>
        <v/>
      </c>
      <c r="E211" s="57" t="str">
        <f>IF(K211="","",VLOOKUP(F211,Tabelle1!$A$2:$M$496,13,0))</f>
        <v/>
      </c>
      <c r="F211" s="56"/>
      <c r="G211" s="57"/>
      <c r="H211" s="57"/>
      <c r="I211" s="57"/>
      <c r="J211" s="57"/>
      <c r="K211" s="57" t="str">
        <f t="shared" si="12"/>
        <v/>
      </c>
      <c r="L211" s="57" t="str">
        <f>IF(K211="","",VLOOKUP(F211,Tabelle1!$A$2:$I$496,9,0))</f>
        <v/>
      </c>
      <c r="M211" s="57" t="str">
        <f>IF(K211="","",VLOOKUP(F211,Tabelle1!$A$2:$G$496,7,0))</f>
        <v/>
      </c>
      <c r="N211" s="66" t="str">
        <f t="shared" si="13"/>
        <v/>
      </c>
      <c r="O211" s="66" t="str">
        <f>IF(K211="","",((K211*VLOOKUP(F211,Tabelle1!$A$2:$I$496,8,0))/$W$4))</f>
        <v/>
      </c>
      <c r="P211" s="76" t="str">
        <f>IF(K211="","",VLOOKUP(F211,Tabelle1!$A$2:$L$496,12,0))</f>
        <v/>
      </c>
    </row>
    <row r="212" spans="1:16">
      <c r="A212" s="67"/>
      <c r="B212" s="55"/>
      <c r="C212" s="55"/>
      <c r="D212" s="57" t="str">
        <f>IF(K212="","",VLOOKUP(F212,Tabelle1!$A$2:$C$496,3,0))</f>
        <v/>
      </c>
      <c r="E212" s="57" t="str">
        <f>IF(K212="","",VLOOKUP(F212,Tabelle1!$A$2:$M$496,13,0))</f>
        <v/>
      </c>
      <c r="F212" s="56"/>
      <c r="G212" s="57"/>
      <c r="H212" s="57"/>
      <c r="I212" s="57"/>
      <c r="J212" s="57"/>
      <c r="K212" s="57" t="str">
        <f t="shared" si="12"/>
        <v/>
      </c>
      <c r="L212" s="57" t="str">
        <f>IF(K212="","",VLOOKUP(F212,Tabelle1!$A$2:$I$496,9,0))</f>
        <v/>
      </c>
      <c r="M212" s="57" t="str">
        <f>IF(K212="","",VLOOKUP(F212,Tabelle1!$A$2:$G$496,7,0))</f>
        <v/>
      </c>
      <c r="N212" s="66" t="str">
        <f t="shared" si="13"/>
        <v/>
      </c>
      <c r="O212" s="66" t="str">
        <f>IF(K212="","",((K212*VLOOKUP(F212,Tabelle1!$A$2:$I$496,8,0))/$W$4))</f>
        <v/>
      </c>
      <c r="P212" s="76" t="str">
        <f>IF(K212="","",VLOOKUP(F212,Tabelle1!$A$2:$L$496,12,0))</f>
        <v/>
      </c>
    </row>
    <row r="213" spans="1:16">
      <c r="A213" s="67"/>
      <c r="B213" s="55"/>
      <c r="C213" s="55"/>
      <c r="D213" s="57" t="str">
        <f>IF(K213="","",VLOOKUP(F213,Tabelle1!$A$2:$C$496,3,0))</f>
        <v/>
      </c>
      <c r="E213" s="57" t="str">
        <f>IF(K213="","",VLOOKUP(F213,Tabelle1!$A$2:$M$496,13,0))</f>
        <v/>
      </c>
      <c r="F213" s="56"/>
      <c r="G213" s="57"/>
      <c r="H213" s="57"/>
      <c r="I213" s="57"/>
      <c r="J213" s="57"/>
      <c r="K213" s="57" t="str">
        <f t="shared" si="12"/>
        <v/>
      </c>
      <c r="L213" s="57" t="str">
        <f>IF(K213="","",VLOOKUP(F213,Tabelle1!$A$2:$I$496,9,0))</f>
        <v/>
      </c>
      <c r="M213" s="57" t="str">
        <f>IF(K213="","",VLOOKUP(F213,Tabelle1!$A$2:$G$496,7,0))</f>
        <v/>
      </c>
      <c r="N213" s="66" t="str">
        <f t="shared" si="13"/>
        <v/>
      </c>
      <c r="O213" s="66" t="str">
        <f>IF(K213="","",((K213*VLOOKUP(F213,Tabelle1!$A$2:$I$496,8,0))/$W$4))</f>
        <v/>
      </c>
      <c r="P213" s="76" t="str">
        <f>IF(K213="","",VLOOKUP(F213,Tabelle1!$A$2:$L$496,12,0))</f>
        <v/>
      </c>
    </row>
    <row r="214" spans="1:16">
      <c r="A214" s="67"/>
      <c r="B214" s="55"/>
      <c r="C214" s="55"/>
      <c r="D214" s="57" t="str">
        <f>IF(K214="","",VLOOKUP(F214,Tabelle1!$A$2:$C$496,3,0))</f>
        <v/>
      </c>
      <c r="E214" s="57" t="str">
        <f>IF(K214="","",VLOOKUP(F214,Tabelle1!$A$2:$M$496,13,0))</f>
        <v/>
      </c>
      <c r="F214" s="56"/>
      <c r="G214" s="57"/>
      <c r="H214" s="57"/>
      <c r="I214" s="57"/>
      <c r="J214" s="57"/>
      <c r="K214" s="57" t="str">
        <f t="shared" si="12"/>
        <v/>
      </c>
      <c r="L214" s="57" t="str">
        <f>IF(K214="","",VLOOKUP(F214,Tabelle1!$A$2:$I$496,9,0))</f>
        <v/>
      </c>
      <c r="M214" s="57" t="str">
        <f>IF(K214="","",VLOOKUP(F214,Tabelle1!$A$2:$G$496,7,0))</f>
        <v/>
      </c>
      <c r="N214" s="66" t="str">
        <f t="shared" si="13"/>
        <v/>
      </c>
      <c r="O214" s="66" t="str">
        <f>IF(K214="","",((K214*VLOOKUP(F214,Tabelle1!$A$2:$I$496,8,0))/$W$4))</f>
        <v/>
      </c>
      <c r="P214" s="76" t="str">
        <f>IF(K214="","",VLOOKUP(F214,Tabelle1!$A$2:$L$496,12,0))</f>
        <v/>
      </c>
    </row>
    <row r="215" spans="1:16">
      <c r="A215" s="67"/>
      <c r="B215" s="55"/>
      <c r="C215" s="55"/>
      <c r="D215" s="57" t="str">
        <f>IF(K215="","",VLOOKUP(F215,Tabelle1!$A$2:$C$496,3,0))</f>
        <v/>
      </c>
      <c r="E215" s="57" t="str">
        <f>IF(K215="","",VLOOKUP(F215,Tabelle1!$A$2:$M$496,13,0))</f>
        <v/>
      </c>
      <c r="F215" s="56"/>
      <c r="G215" s="57"/>
      <c r="H215" s="57"/>
      <c r="I215" s="57"/>
      <c r="J215" s="57"/>
      <c r="K215" s="57" t="str">
        <f t="shared" si="12"/>
        <v/>
      </c>
      <c r="L215" s="57" t="str">
        <f>IF(K215="","",VLOOKUP(F215,Tabelle1!$A$2:$I$496,9,0))</f>
        <v/>
      </c>
      <c r="M215" s="57" t="str">
        <f>IF(K215="","",VLOOKUP(F215,Tabelle1!$A$2:$G$496,7,0))</f>
        <v/>
      </c>
      <c r="N215" s="66" t="str">
        <f t="shared" si="13"/>
        <v/>
      </c>
      <c r="O215" s="66" t="str">
        <f>IF(K215="","",((K215*VLOOKUP(F215,Tabelle1!$A$2:$I$496,8,0))/$W$4))</f>
        <v/>
      </c>
      <c r="P215" s="76" t="str">
        <f>IF(K215="","",VLOOKUP(F215,Tabelle1!$A$2:$L$496,12,0))</f>
        <v/>
      </c>
    </row>
    <row r="216" spans="1:16">
      <c r="A216" s="67"/>
      <c r="B216" s="55"/>
      <c r="C216" s="55"/>
      <c r="D216" s="57" t="str">
        <f>IF(K216="","",VLOOKUP(F216,Tabelle1!$A$2:$C$496,3,0))</f>
        <v/>
      </c>
      <c r="E216" s="57" t="str">
        <f>IF(K216="","",VLOOKUP(F216,Tabelle1!$A$2:$M$496,13,0))</f>
        <v/>
      </c>
      <c r="F216" s="56"/>
      <c r="G216" s="57"/>
      <c r="H216" s="57"/>
      <c r="I216" s="57"/>
      <c r="J216" s="57"/>
      <c r="K216" s="57" t="str">
        <f t="shared" si="12"/>
        <v/>
      </c>
      <c r="L216" s="57" t="str">
        <f>IF(K216="","",VLOOKUP(F216,Tabelle1!$A$2:$I$496,9,0))</f>
        <v/>
      </c>
      <c r="M216" s="57" t="str">
        <f>IF(K216="","",VLOOKUP(F216,Tabelle1!$A$2:$G$496,7,0))</f>
        <v/>
      </c>
      <c r="N216" s="66" t="str">
        <f t="shared" si="13"/>
        <v/>
      </c>
      <c r="O216" s="66" t="str">
        <f>IF(K216="","",((K216*VLOOKUP(F216,Tabelle1!$A$2:$I$496,8,0))/$W$4))</f>
        <v/>
      </c>
      <c r="P216" s="76" t="str">
        <f>IF(K216="","",VLOOKUP(F216,Tabelle1!$A$2:$L$496,12,0))</f>
        <v/>
      </c>
    </row>
    <row r="217" spans="1:16">
      <c r="A217" s="67"/>
      <c r="B217" s="55"/>
      <c r="C217" s="55"/>
      <c r="D217" s="57" t="str">
        <f>IF(K217="","",VLOOKUP(F217,Tabelle1!$A$2:$C$496,3,0))</f>
        <v/>
      </c>
      <c r="E217" s="57" t="str">
        <f>IF(K217="","",VLOOKUP(F217,Tabelle1!$A$2:$M$496,13,0))</f>
        <v/>
      </c>
      <c r="F217" s="56"/>
      <c r="G217" s="57"/>
      <c r="H217" s="57"/>
      <c r="I217" s="57"/>
      <c r="J217" s="57"/>
      <c r="K217" s="57" t="str">
        <f t="shared" si="12"/>
        <v/>
      </c>
      <c r="L217" s="57" t="str">
        <f>IF(K217="","",VLOOKUP(F217,Tabelle1!$A$2:$I$496,9,0))</f>
        <v/>
      </c>
      <c r="M217" s="57" t="str">
        <f>IF(K217="","",VLOOKUP(F217,Tabelle1!$A$2:$G$496,7,0))</f>
        <v/>
      </c>
      <c r="N217" s="66" t="str">
        <f t="shared" si="13"/>
        <v/>
      </c>
      <c r="O217" s="66" t="str">
        <f>IF(K217="","",((K217*VLOOKUP(F217,Tabelle1!$A$2:$I$496,8,0))/$W$4))</f>
        <v/>
      </c>
      <c r="P217" s="76" t="str">
        <f>IF(K217="","",VLOOKUP(F217,Tabelle1!$A$2:$L$496,12,0))</f>
        <v/>
      </c>
    </row>
    <row r="218" spans="1:16">
      <c r="A218" s="67"/>
      <c r="B218" s="55"/>
      <c r="C218" s="55"/>
      <c r="D218" s="57" t="str">
        <f>IF(K218="","",VLOOKUP(F218,Tabelle1!$A$2:$C$496,3,0))</f>
        <v/>
      </c>
      <c r="E218" s="57" t="str">
        <f>IF(K218="","",VLOOKUP(F218,Tabelle1!$A$2:$M$496,13,0))</f>
        <v/>
      </c>
      <c r="F218" s="56"/>
      <c r="G218" s="57"/>
      <c r="H218" s="57"/>
      <c r="I218" s="57"/>
      <c r="J218" s="57"/>
      <c r="K218" s="57" t="str">
        <f t="shared" si="12"/>
        <v/>
      </c>
      <c r="L218" s="57" t="str">
        <f>IF(K218="","",VLOOKUP(F218,Tabelle1!$A$2:$I$496,9,0))</f>
        <v/>
      </c>
      <c r="M218" s="57" t="str">
        <f>IF(K218="","",VLOOKUP(F218,Tabelle1!$A$2:$G$496,7,0))</f>
        <v/>
      </c>
      <c r="N218" s="66" t="str">
        <f t="shared" si="13"/>
        <v/>
      </c>
      <c r="O218" s="66" t="str">
        <f>IF(K218="","",((K218*VLOOKUP(F218,Tabelle1!$A$2:$I$496,8,0))/$W$4))</f>
        <v/>
      </c>
      <c r="P218" s="76" t="str">
        <f>IF(K218="","",VLOOKUP(F218,Tabelle1!$A$2:$L$496,12,0))</f>
        <v/>
      </c>
    </row>
    <row r="219" spans="1:16">
      <c r="A219" s="67"/>
      <c r="B219" s="55"/>
      <c r="C219" s="55"/>
      <c r="D219" s="57" t="str">
        <f>IF(K219="","",VLOOKUP(F219,Tabelle1!$A$2:$C$496,3,0))</f>
        <v/>
      </c>
      <c r="E219" s="57" t="str">
        <f>IF(K219="","",VLOOKUP(F219,Tabelle1!$A$2:$M$496,13,0))</f>
        <v/>
      </c>
      <c r="F219" s="56"/>
      <c r="G219" s="57"/>
      <c r="H219" s="57"/>
      <c r="I219" s="57"/>
      <c r="J219" s="57"/>
      <c r="K219" s="57" t="str">
        <f t="shared" si="12"/>
        <v/>
      </c>
      <c r="L219" s="57" t="str">
        <f>IF(K219="","",VLOOKUP(F219,Tabelle1!$A$2:$I$496,9,0))</f>
        <v/>
      </c>
      <c r="M219" s="57" t="str">
        <f>IF(K219="","",VLOOKUP(F219,Tabelle1!$A$2:$G$496,7,0))</f>
        <v/>
      </c>
      <c r="N219" s="66" t="str">
        <f t="shared" si="13"/>
        <v/>
      </c>
      <c r="O219" s="66" t="str">
        <f>IF(K219="","",((K219*VLOOKUP(F219,Tabelle1!$A$2:$I$496,8,0))/$W$4))</f>
        <v/>
      </c>
      <c r="P219" s="76" t="str">
        <f>IF(K219="","",VLOOKUP(F219,Tabelle1!$A$2:$L$496,12,0))</f>
        <v/>
      </c>
    </row>
    <row r="220" spans="1:16">
      <c r="A220" s="67"/>
      <c r="B220" s="55"/>
      <c r="C220" s="55"/>
      <c r="D220" s="57" t="str">
        <f>IF(K220="","",VLOOKUP(F220,Tabelle1!$A$2:$C$496,3,0))</f>
        <v/>
      </c>
      <c r="E220" s="57" t="str">
        <f>IF(K220="","",VLOOKUP(F220,Tabelle1!$A$2:$M$496,13,0))</f>
        <v/>
      </c>
      <c r="F220" s="56"/>
      <c r="G220" s="57"/>
      <c r="H220" s="57"/>
      <c r="I220" s="57"/>
      <c r="J220" s="57"/>
      <c r="K220" s="57" t="str">
        <f t="shared" si="12"/>
        <v/>
      </c>
      <c r="L220" s="57" t="str">
        <f>IF(K220="","",VLOOKUP(F220,Tabelle1!$A$2:$I$496,9,0))</f>
        <v/>
      </c>
      <c r="M220" s="57" t="str">
        <f>IF(K220="","",VLOOKUP(F220,Tabelle1!$A$2:$G$496,7,0))</f>
        <v/>
      </c>
      <c r="N220" s="66" t="str">
        <f t="shared" si="13"/>
        <v/>
      </c>
      <c r="O220" s="66" t="str">
        <f>IF(K220="","",((K220*VLOOKUP(F220,Tabelle1!$A$2:$I$496,8,0))/$W$4))</f>
        <v/>
      </c>
      <c r="P220" s="76" t="str">
        <f>IF(K220="","",VLOOKUP(F220,Tabelle1!$A$2:$L$496,12,0))</f>
        <v/>
      </c>
    </row>
    <row r="221" spans="1:16">
      <c r="A221" s="67"/>
      <c r="B221" s="55"/>
      <c r="C221" s="55"/>
      <c r="D221" s="57" t="str">
        <f>IF(K221="","",VLOOKUP(F221,Tabelle1!$A$2:$C$496,3,0))</f>
        <v/>
      </c>
      <c r="E221" s="57" t="str">
        <f>IF(K221="","",VLOOKUP(F221,Tabelle1!$A$2:$M$496,13,0))</f>
        <v/>
      </c>
      <c r="F221" s="56"/>
      <c r="G221" s="57"/>
      <c r="H221" s="57"/>
      <c r="I221" s="57"/>
      <c r="J221" s="57"/>
      <c r="K221" s="57" t="str">
        <f t="shared" si="12"/>
        <v/>
      </c>
      <c r="L221" s="57" t="str">
        <f>IF(K221="","",VLOOKUP(F221,Tabelle1!$A$2:$I$496,9,0))</f>
        <v/>
      </c>
      <c r="M221" s="57" t="str">
        <f>IF(K221="","",VLOOKUP(F221,Tabelle1!$A$2:$G$496,7,0))</f>
        <v/>
      </c>
      <c r="N221" s="66" t="str">
        <f t="shared" si="13"/>
        <v/>
      </c>
      <c r="O221" s="66" t="str">
        <f>IF(K221="","",((K221*VLOOKUP(F221,Tabelle1!$A$2:$I$496,8,0))/$W$4))</f>
        <v/>
      </c>
      <c r="P221" s="76" t="str">
        <f>IF(K221="","",VLOOKUP(F221,Tabelle1!$A$2:$L$496,12,0))</f>
        <v/>
      </c>
    </row>
    <row r="222" spans="1:16">
      <c r="A222" s="67"/>
      <c r="B222" s="55"/>
      <c r="C222" s="55"/>
      <c r="D222" s="57" t="str">
        <f>IF(K222="","",VLOOKUP(F222,Tabelle1!$A$2:$C$496,3,0))</f>
        <v/>
      </c>
      <c r="E222" s="57" t="str">
        <f>IF(K222="","",VLOOKUP(F222,Tabelle1!$A$2:$M$496,13,0))</f>
        <v/>
      </c>
      <c r="F222" s="56"/>
      <c r="G222" s="57"/>
      <c r="H222" s="57"/>
      <c r="I222" s="57"/>
      <c r="J222" s="57"/>
      <c r="K222" s="57" t="str">
        <f t="shared" si="12"/>
        <v/>
      </c>
      <c r="L222" s="57" t="str">
        <f>IF(K222="","",VLOOKUP(F222,Tabelle1!$A$2:$I$496,9,0))</f>
        <v/>
      </c>
      <c r="M222" s="57" t="str">
        <f>IF(K222="","",VLOOKUP(F222,Tabelle1!$A$2:$G$496,7,0))</f>
        <v/>
      </c>
      <c r="N222" s="66" t="str">
        <f t="shared" si="13"/>
        <v/>
      </c>
      <c r="O222" s="66" t="str">
        <f>IF(K222="","",((K222*VLOOKUP(F222,Tabelle1!$A$2:$I$496,8,0))/$W$4))</f>
        <v/>
      </c>
      <c r="P222" s="76" t="str">
        <f>IF(K222="","",VLOOKUP(F222,Tabelle1!$A$2:$L$496,12,0))</f>
        <v/>
      </c>
    </row>
    <row r="223" spans="1:16">
      <c r="A223" s="67"/>
      <c r="B223" s="55"/>
      <c r="C223" s="55"/>
      <c r="D223" s="57" t="str">
        <f>IF(K223="","",VLOOKUP(F223,Tabelle1!$A$2:$C$496,3,0))</f>
        <v/>
      </c>
      <c r="E223" s="57" t="str">
        <f>IF(K223="","",VLOOKUP(F223,Tabelle1!$A$2:$M$496,13,0))</f>
        <v/>
      </c>
      <c r="F223" s="56"/>
      <c r="G223" s="57"/>
      <c r="H223" s="57"/>
      <c r="I223" s="57"/>
      <c r="J223" s="57"/>
      <c r="K223" s="57" t="str">
        <f t="shared" si="12"/>
        <v/>
      </c>
      <c r="L223" s="57" t="str">
        <f>IF(K223="","",VLOOKUP(F223,Tabelle1!$A$2:$I$496,9,0))</f>
        <v/>
      </c>
      <c r="M223" s="57" t="str">
        <f>IF(K223="","",VLOOKUP(F223,Tabelle1!$A$2:$G$496,7,0))</f>
        <v/>
      </c>
      <c r="N223" s="66" t="str">
        <f t="shared" si="13"/>
        <v/>
      </c>
      <c r="O223" s="66" t="str">
        <f>IF(K223="","",((K223*VLOOKUP(F223,Tabelle1!$A$2:$I$496,8,0))/$W$4))</f>
        <v/>
      </c>
      <c r="P223" s="76" t="str">
        <f>IF(K223="","",VLOOKUP(F223,Tabelle1!$A$2:$L$496,12,0))</f>
        <v/>
      </c>
    </row>
    <row r="224" spans="1:16">
      <c r="A224" s="67"/>
      <c r="B224" s="55"/>
      <c r="C224" s="55"/>
      <c r="D224" s="57" t="str">
        <f>IF(K224="","",VLOOKUP(F224,Tabelle1!$A$2:$C$496,3,0))</f>
        <v/>
      </c>
      <c r="E224" s="57" t="str">
        <f>IF(K224="","",VLOOKUP(F224,Tabelle1!$A$2:$M$496,13,0))</f>
        <v/>
      </c>
      <c r="F224" s="56"/>
      <c r="G224" s="57"/>
      <c r="H224" s="57"/>
      <c r="I224" s="57"/>
      <c r="J224" s="57"/>
      <c r="K224" s="57" t="str">
        <f t="shared" si="12"/>
        <v/>
      </c>
      <c r="L224" s="57" t="str">
        <f>IF(K224="","",VLOOKUP(F224,Tabelle1!$A$2:$I$496,9,0))</f>
        <v/>
      </c>
      <c r="M224" s="57" t="str">
        <f>IF(K224="","",VLOOKUP(F224,Tabelle1!$A$2:$G$496,7,0))</f>
        <v/>
      </c>
      <c r="N224" s="66" t="str">
        <f t="shared" si="13"/>
        <v/>
      </c>
      <c r="O224" s="66" t="str">
        <f>IF(K224="","",((K224*VLOOKUP(F224,Tabelle1!$A$2:$I$496,8,0))/$W$4))</f>
        <v/>
      </c>
      <c r="P224" s="76" t="str">
        <f>IF(K224="","",VLOOKUP(F224,Tabelle1!$A$2:$L$496,12,0))</f>
        <v/>
      </c>
    </row>
    <row r="225" spans="1:16">
      <c r="A225" s="67"/>
      <c r="B225" s="55"/>
      <c r="C225" s="55"/>
      <c r="D225" s="57" t="str">
        <f>IF(K225="","",VLOOKUP(F225,Tabelle1!$A$2:$C$496,3,0))</f>
        <v/>
      </c>
      <c r="E225" s="57" t="str">
        <f>IF(K225="","",VLOOKUP(F225,Tabelle1!$A$2:$M$496,13,0))</f>
        <v/>
      </c>
      <c r="F225" s="56"/>
      <c r="G225" s="57"/>
      <c r="H225" s="57"/>
      <c r="I225" s="57"/>
      <c r="J225" s="57"/>
      <c r="K225" s="57" t="str">
        <f t="shared" si="12"/>
        <v/>
      </c>
      <c r="L225" s="57" t="str">
        <f>IF(K225="","",VLOOKUP(F225,Tabelle1!$A$2:$I$496,9,0))</f>
        <v/>
      </c>
      <c r="M225" s="57" t="str">
        <f>IF(K225="","",VLOOKUP(F225,Tabelle1!$A$2:$G$496,7,0))</f>
        <v/>
      </c>
      <c r="N225" s="66" t="str">
        <f t="shared" si="13"/>
        <v/>
      </c>
      <c r="O225" s="66" t="str">
        <f>IF(K225="","",((K225*VLOOKUP(F225,Tabelle1!$A$2:$I$496,8,0))/$W$4))</f>
        <v/>
      </c>
      <c r="P225" s="76" t="str">
        <f>IF(K225="","",VLOOKUP(F225,Tabelle1!$A$2:$L$496,12,0))</f>
        <v/>
      </c>
    </row>
    <row r="226" spans="1:16">
      <c r="A226" s="67"/>
      <c r="B226" s="55"/>
      <c r="C226" s="55"/>
      <c r="D226" s="57" t="str">
        <f>IF(K226="","",VLOOKUP(F226,Tabelle1!$A$2:$C$496,3,0))</f>
        <v/>
      </c>
      <c r="E226" s="57" t="str">
        <f>IF(K226="","",VLOOKUP(F226,Tabelle1!$A$2:$M$496,13,0))</f>
        <v/>
      </c>
      <c r="F226" s="56"/>
      <c r="G226" s="57"/>
      <c r="H226" s="57"/>
      <c r="I226" s="57"/>
      <c r="J226" s="57"/>
      <c r="K226" s="57" t="str">
        <f t="shared" si="12"/>
        <v/>
      </c>
      <c r="L226" s="57" t="str">
        <f>IF(K226="","",VLOOKUP(F226,Tabelle1!$A$2:$I$496,9,0))</f>
        <v/>
      </c>
      <c r="M226" s="57" t="str">
        <f>IF(K226="","",VLOOKUP(F226,Tabelle1!$A$2:$G$496,7,0))</f>
        <v/>
      </c>
      <c r="N226" s="66" t="str">
        <f t="shared" si="13"/>
        <v/>
      </c>
      <c r="O226" s="66" t="str">
        <f>IF(K226="","",((K226*VLOOKUP(F226,Tabelle1!$A$2:$I$496,8,0))/$W$4))</f>
        <v/>
      </c>
      <c r="P226" s="76" t="str">
        <f>IF(K226="","",VLOOKUP(F226,Tabelle1!$A$2:$L$496,12,0))</f>
        <v/>
      </c>
    </row>
    <row r="227" spans="1:16">
      <c r="A227" s="67"/>
      <c r="B227" s="55"/>
      <c r="C227" s="55"/>
      <c r="D227" s="57" t="str">
        <f>IF(K227="","",VLOOKUP(F227,Tabelle1!$A$2:$C$496,3,0))</f>
        <v/>
      </c>
      <c r="E227" s="57" t="str">
        <f>IF(K227="","",VLOOKUP(F227,Tabelle1!$A$2:$M$496,13,0))</f>
        <v/>
      </c>
      <c r="F227" s="56"/>
      <c r="G227" s="57"/>
      <c r="H227" s="57"/>
      <c r="I227" s="57"/>
      <c r="J227" s="57"/>
      <c r="K227" s="57" t="str">
        <f t="shared" si="12"/>
        <v/>
      </c>
      <c r="L227" s="57" t="str">
        <f>IF(K227="","",VLOOKUP(F227,Tabelle1!$A$2:$I$496,9,0))</f>
        <v/>
      </c>
      <c r="M227" s="57" t="str">
        <f>IF(K227="","",VLOOKUP(F227,Tabelle1!$A$2:$G$496,7,0))</f>
        <v/>
      </c>
      <c r="N227" s="66" t="str">
        <f t="shared" si="13"/>
        <v/>
      </c>
      <c r="O227" s="66" t="str">
        <f>IF(K227="","",((K227*VLOOKUP(F227,Tabelle1!$A$2:$I$496,8,0))/$W$4))</f>
        <v/>
      </c>
      <c r="P227" s="76" t="str">
        <f>IF(K227="","",VLOOKUP(F227,Tabelle1!$A$2:$L$496,12,0))</f>
        <v/>
      </c>
    </row>
    <row r="228" spans="1:16">
      <c r="A228" s="67"/>
      <c r="B228" s="55"/>
      <c r="C228" s="55"/>
      <c r="D228" s="57" t="str">
        <f>IF(K228="","",VLOOKUP(F228,Tabelle1!$A$2:$C$496,3,0))</f>
        <v/>
      </c>
      <c r="E228" s="57" t="str">
        <f>IF(K228="","",VLOOKUP(F228,Tabelle1!$A$2:$M$496,13,0))</f>
        <v/>
      </c>
      <c r="F228" s="56"/>
      <c r="G228" s="57"/>
      <c r="H228" s="57"/>
      <c r="I228" s="57"/>
      <c r="J228" s="57"/>
      <c r="K228" s="57" t="str">
        <f t="shared" si="12"/>
        <v/>
      </c>
      <c r="L228" s="57" t="str">
        <f>IF(K228="","",VLOOKUP(F228,Tabelle1!$A$2:$I$496,9,0))</f>
        <v/>
      </c>
      <c r="M228" s="57" t="str">
        <f>IF(K228="","",VLOOKUP(F228,Tabelle1!$A$2:$G$496,7,0))</f>
        <v/>
      </c>
      <c r="N228" s="66" t="str">
        <f t="shared" si="13"/>
        <v/>
      </c>
      <c r="O228" s="66" t="str">
        <f>IF(K228="","",((K228*VLOOKUP(F228,Tabelle1!$A$2:$I$496,8,0))/$W$4))</f>
        <v/>
      </c>
      <c r="P228" s="76" t="str">
        <f>IF(K228="","",VLOOKUP(F228,Tabelle1!$A$2:$L$496,12,0))</f>
        <v/>
      </c>
    </row>
    <row r="229" spans="1:16">
      <c r="A229" s="67"/>
      <c r="B229" s="55"/>
      <c r="C229" s="55"/>
      <c r="D229" s="57" t="str">
        <f>IF(K229="","",VLOOKUP(F229,Tabelle1!$A$2:$C$496,3,0))</f>
        <v/>
      </c>
      <c r="E229" s="57" t="str">
        <f>IF(K229="","",VLOOKUP(F229,Tabelle1!$A$2:$M$496,13,0))</f>
        <v/>
      </c>
      <c r="F229" s="56"/>
      <c r="G229" s="57"/>
      <c r="H229" s="57"/>
      <c r="I229" s="57"/>
      <c r="J229" s="57"/>
      <c r="K229" s="57" t="str">
        <f t="shared" si="12"/>
        <v/>
      </c>
      <c r="L229" s="57" t="str">
        <f>IF(K229="","",VLOOKUP(F229,Tabelle1!$A$2:$I$496,9,0))</f>
        <v/>
      </c>
      <c r="M229" s="57" t="str">
        <f>IF(K229="","",VLOOKUP(F229,Tabelle1!$A$2:$G$496,7,0))</f>
        <v/>
      </c>
      <c r="N229" s="66" t="str">
        <f t="shared" si="13"/>
        <v/>
      </c>
      <c r="O229" s="66" t="str">
        <f>IF(K229="","",((K229*VLOOKUP(F229,Tabelle1!$A$2:$I$496,8,0))/$W$4))</f>
        <v/>
      </c>
      <c r="P229" s="76" t="str">
        <f>IF(K229="","",VLOOKUP(F229,Tabelle1!$A$2:$L$496,12,0))</f>
        <v/>
      </c>
    </row>
    <row r="230" spans="1:16">
      <c r="A230" s="67"/>
      <c r="B230" s="55"/>
      <c r="C230" s="55"/>
      <c r="D230" s="57" t="str">
        <f>IF(K230="","",VLOOKUP(F230,Tabelle1!$A$2:$C$496,3,0))</f>
        <v/>
      </c>
      <c r="E230" s="57" t="str">
        <f>IF(K230="","",VLOOKUP(F230,Tabelle1!$A$2:$M$496,13,0))</f>
        <v/>
      </c>
      <c r="F230" s="56"/>
      <c r="G230" s="57"/>
      <c r="H230" s="57"/>
      <c r="I230" s="57"/>
      <c r="J230" s="57"/>
      <c r="K230" s="57" t="str">
        <f t="shared" si="12"/>
        <v/>
      </c>
      <c r="L230" s="57" t="str">
        <f>IF(K230="","",VLOOKUP(F230,Tabelle1!$A$2:$I$496,9,0))</f>
        <v/>
      </c>
      <c r="M230" s="57" t="str">
        <f>IF(K230="","",VLOOKUP(F230,Tabelle1!$A$2:$G$496,7,0))</f>
        <v/>
      </c>
      <c r="N230" s="66" t="str">
        <f t="shared" si="13"/>
        <v/>
      </c>
      <c r="O230" s="66" t="str">
        <f>IF(K230="","",((K230*VLOOKUP(F230,Tabelle1!$A$2:$I$496,8,0))/$W$4))</f>
        <v/>
      </c>
      <c r="P230" s="76" t="str">
        <f>IF(K230="","",VLOOKUP(F230,Tabelle1!$A$2:$L$496,12,0))</f>
        <v/>
      </c>
    </row>
    <row r="231" spans="1:16">
      <c r="A231" s="67"/>
      <c r="B231" s="55"/>
      <c r="C231" s="55"/>
      <c r="D231" s="57" t="str">
        <f>IF(K231="","",VLOOKUP(F231,Tabelle1!$A$2:$C$496,3,0))</f>
        <v/>
      </c>
      <c r="E231" s="57" t="str">
        <f>IF(K231="","",VLOOKUP(F231,Tabelle1!$A$2:$M$496,13,0))</f>
        <v/>
      </c>
      <c r="F231" s="56"/>
      <c r="G231" s="57"/>
      <c r="H231" s="57"/>
      <c r="I231" s="57"/>
      <c r="J231" s="57"/>
      <c r="K231" s="57" t="str">
        <f t="shared" si="12"/>
        <v/>
      </c>
      <c r="L231" s="57" t="str">
        <f>IF(K231="","",VLOOKUP(F231,Tabelle1!$A$2:$I$496,9,0))</f>
        <v/>
      </c>
      <c r="M231" s="57" t="str">
        <f>IF(K231="","",VLOOKUP(F231,Tabelle1!$A$2:$G$496,7,0))</f>
        <v/>
      </c>
      <c r="N231" s="66" t="str">
        <f t="shared" si="13"/>
        <v/>
      </c>
      <c r="O231" s="66" t="str">
        <f>IF(K231="","",((K231*VLOOKUP(F231,Tabelle1!$A$2:$I$496,8,0))/$W$4))</f>
        <v/>
      </c>
      <c r="P231" s="76" t="str">
        <f>IF(K231="","",VLOOKUP(F231,Tabelle1!$A$2:$L$496,12,0))</f>
        <v/>
      </c>
    </row>
    <row r="232" spans="1:16">
      <c r="A232" s="67"/>
      <c r="B232" s="55"/>
      <c r="C232" s="55"/>
      <c r="D232" s="57" t="str">
        <f>IF(K232="","",VLOOKUP(F232,Tabelle1!$A$2:$C$496,3,0))</f>
        <v/>
      </c>
      <c r="E232" s="57" t="str">
        <f>IF(K232="","",VLOOKUP(F232,Tabelle1!$A$2:$M$496,13,0))</f>
        <v/>
      </c>
      <c r="F232" s="56"/>
      <c r="G232" s="57"/>
      <c r="H232" s="57"/>
      <c r="I232" s="57"/>
      <c r="J232" s="57"/>
      <c r="K232" s="57" t="str">
        <f t="shared" si="12"/>
        <v/>
      </c>
      <c r="L232" s="57" t="str">
        <f>IF(K232="","",VLOOKUP(F232,Tabelle1!$A$2:$I$496,9,0))</f>
        <v/>
      </c>
      <c r="M232" s="57" t="str">
        <f>IF(K232="","",VLOOKUP(F232,Tabelle1!$A$2:$G$496,7,0))</f>
        <v/>
      </c>
      <c r="N232" s="66" t="str">
        <f t="shared" si="13"/>
        <v/>
      </c>
      <c r="O232" s="66" t="str">
        <f>IF(K232="","",((K232*VLOOKUP(F232,Tabelle1!$A$2:$I$496,8,0))/$W$4))</f>
        <v/>
      </c>
      <c r="P232" s="76" t="str">
        <f>IF(K232="","",VLOOKUP(F232,Tabelle1!$A$2:$L$496,12,0))</f>
        <v/>
      </c>
    </row>
    <row r="233" spans="1:16">
      <c r="A233" s="67"/>
      <c r="B233" s="55"/>
      <c r="C233" s="55"/>
      <c r="D233" s="57" t="str">
        <f>IF(K233="","",VLOOKUP(F233,Tabelle1!$A$2:$C$496,3,0))</f>
        <v/>
      </c>
      <c r="E233" s="57" t="str">
        <f>IF(K233="","",VLOOKUP(F233,Tabelle1!$A$2:$M$496,13,0))</f>
        <v/>
      </c>
      <c r="F233" s="56"/>
      <c r="G233" s="57"/>
      <c r="H233" s="57"/>
      <c r="I233" s="57"/>
      <c r="J233" s="57"/>
      <c r="K233" s="57" t="str">
        <f t="shared" si="12"/>
        <v/>
      </c>
      <c r="L233" s="57" t="str">
        <f>IF(K233="","",VLOOKUP(F233,Tabelle1!$A$2:$I$496,9,0))</f>
        <v/>
      </c>
      <c r="M233" s="57" t="str">
        <f>IF(K233="","",VLOOKUP(F233,Tabelle1!$A$2:$G$496,7,0))</f>
        <v/>
      </c>
      <c r="N233" s="66" t="str">
        <f t="shared" si="13"/>
        <v/>
      </c>
      <c r="O233" s="66" t="str">
        <f>IF(K233="","",((K233*VLOOKUP(F233,Tabelle1!$A$2:$I$496,8,0))/$W$4))</f>
        <v/>
      </c>
      <c r="P233" s="76" t="str">
        <f>IF(K233="","",VLOOKUP(F233,Tabelle1!$A$2:$L$496,12,0))</f>
        <v/>
      </c>
    </row>
    <row r="234" spans="1:16">
      <c r="A234" s="67"/>
      <c r="B234" s="55"/>
      <c r="C234" s="55"/>
      <c r="D234" s="57" t="str">
        <f>IF(K234="","",VLOOKUP(F234,Tabelle1!$A$2:$C$496,3,0))</f>
        <v/>
      </c>
      <c r="E234" s="57" t="str">
        <f>IF(K234="","",VLOOKUP(F234,Tabelle1!$A$2:$M$496,13,0))</f>
        <v/>
      </c>
      <c r="F234" s="56"/>
      <c r="G234" s="57"/>
      <c r="H234" s="57"/>
      <c r="I234" s="57"/>
      <c r="J234" s="57"/>
      <c r="K234" s="57" t="str">
        <f t="shared" si="12"/>
        <v/>
      </c>
      <c r="L234" s="57" t="str">
        <f>IF(K234="","",VLOOKUP(F234,Tabelle1!$A$2:$I$496,9,0))</f>
        <v/>
      </c>
      <c r="M234" s="57" t="str">
        <f>IF(K234="","",VLOOKUP(F234,Tabelle1!$A$2:$G$496,7,0))</f>
        <v/>
      </c>
      <c r="N234" s="66" t="str">
        <f t="shared" si="13"/>
        <v/>
      </c>
      <c r="O234" s="66" t="str">
        <f>IF(K234="","",((K234*VLOOKUP(F234,Tabelle1!$A$2:$I$496,8,0))/$W$4))</f>
        <v/>
      </c>
      <c r="P234" s="76" t="str">
        <f>IF(K234="","",VLOOKUP(F234,Tabelle1!$A$2:$L$496,12,0))</f>
        <v/>
      </c>
    </row>
    <row r="235" spans="1:16">
      <c r="A235" s="67"/>
      <c r="B235" s="55"/>
      <c r="C235" s="55"/>
      <c r="D235" s="57" t="str">
        <f>IF(K235="","",VLOOKUP(F235,Tabelle1!$A$2:$C$496,3,0))</f>
        <v/>
      </c>
      <c r="E235" s="57" t="str">
        <f>IF(K235="","",VLOOKUP(F235,Tabelle1!$A$2:$M$496,13,0))</f>
        <v/>
      </c>
      <c r="F235" s="56"/>
      <c r="G235" s="57"/>
      <c r="H235" s="57"/>
      <c r="I235" s="57"/>
      <c r="J235" s="57"/>
      <c r="K235" s="57" t="str">
        <f t="shared" si="12"/>
        <v/>
      </c>
      <c r="L235" s="57" t="str">
        <f>IF(K235="","",VLOOKUP(F235,Tabelle1!$A$2:$I$496,9,0))</f>
        <v/>
      </c>
      <c r="M235" s="57" t="str">
        <f>IF(K235="","",VLOOKUP(F235,Tabelle1!$A$2:$G$496,7,0))</f>
        <v/>
      </c>
      <c r="N235" s="66" t="str">
        <f t="shared" si="13"/>
        <v/>
      </c>
      <c r="O235" s="66" t="str">
        <f>IF(K235="","",((K235*VLOOKUP(F235,Tabelle1!$A$2:$I$496,8,0))/$W$4))</f>
        <v/>
      </c>
      <c r="P235" s="76" t="str">
        <f>IF(K235="","",VLOOKUP(F235,Tabelle1!$A$2:$L$496,12,0))</f>
        <v/>
      </c>
    </row>
    <row r="236" spans="1:16">
      <c r="A236" s="67"/>
      <c r="B236" s="55"/>
      <c r="C236" s="55"/>
      <c r="D236" s="57" t="str">
        <f>IF(K236="","",VLOOKUP(F236,Tabelle1!$A$2:$C$496,3,0))</f>
        <v/>
      </c>
      <c r="E236" s="57" t="str">
        <f>IF(K236="","",VLOOKUP(F236,Tabelle1!$A$2:$M$496,13,0))</f>
        <v/>
      </c>
      <c r="F236" s="56"/>
      <c r="G236" s="57"/>
      <c r="H236" s="57"/>
      <c r="I236" s="57"/>
      <c r="J236" s="57"/>
      <c r="K236" s="57" t="str">
        <f t="shared" si="12"/>
        <v/>
      </c>
      <c r="L236" s="57" t="str">
        <f>IF(K236="","",VLOOKUP(F236,Tabelle1!$A$2:$I$496,9,0))</f>
        <v/>
      </c>
      <c r="M236" s="57" t="str">
        <f>IF(K236="","",VLOOKUP(F236,Tabelle1!$A$2:$G$496,7,0))</f>
        <v/>
      </c>
      <c r="N236" s="66" t="str">
        <f t="shared" si="13"/>
        <v/>
      </c>
      <c r="O236" s="66" t="str">
        <f>IF(K236="","",((K236*VLOOKUP(F236,Tabelle1!$A$2:$I$496,8,0))/$W$4))</f>
        <v/>
      </c>
      <c r="P236" s="76" t="str">
        <f>IF(K236="","",VLOOKUP(F236,Tabelle1!$A$2:$L$496,12,0))</f>
        <v/>
      </c>
    </row>
    <row r="237" spans="1:16">
      <c r="A237" s="67"/>
      <c r="B237" s="55"/>
      <c r="C237" s="55"/>
      <c r="D237" s="57" t="str">
        <f>IF(K237="","",VLOOKUP(F237,Tabelle1!$A$2:$C$496,3,0))</f>
        <v/>
      </c>
      <c r="E237" s="57" t="str">
        <f>IF(K237="","",VLOOKUP(F237,Tabelle1!$A$2:$M$496,13,0))</f>
        <v/>
      </c>
      <c r="F237" s="56"/>
      <c r="G237" s="57"/>
      <c r="H237" s="57"/>
      <c r="I237" s="57"/>
      <c r="J237" s="57"/>
      <c r="K237" s="57" t="str">
        <f t="shared" si="12"/>
        <v/>
      </c>
      <c r="L237" s="57" t="str">
        <f>IF(K237="","",VLOOKUP(F237,Tabelle1!$A$2:$I$496,9,0))</f>
        <v/>
      </c>
      <c r="M237" s="57" t="str">
        <f>IF(K237="","",VLOOKUP(F237,Tabelle1!$A$2:$G$496,7,0))</f>
        <v/>
      </c>
      <c r="N237" s="66" t="str">
        <f t="shared" si="13"/>
        <v/>
      </c>
      <c r="O237" s="66" t="str">
        <f>IF(K237="","",((K237*VLOOKUP(F237,Tabelle1!$A$2:$I$496,8,0))/$W$4))</f>
        <v/>
      </c>
      <c r="P237" s="76" t="str">
        <f>IF(K237="","",VLOOKUP(F237,Tabelle1!$A$2:$L$496,12,0))</f>
        <v/>
      </c>
    </row>
    <row r="238" spans="1:16">
      <c r="A238" s="67"/>
      <c r="B238" s="55"/>
      <c r="C238" s="55"/>
      <c r="D238" s="57" t="str">
        <f>IF(K238="","",VLOOKUP(F238,Tabelle1!$A$2:$C$496,3,0))</f>
        <v/>
      </c>
      <c r="E238" s="57" t="str">
        <f>IF(K238="","",VLOOKUP(F238,Tabelle1!$A$2:$M$496,13,0))</f>
        <v/>
      </c>
      <c r="F238" s="56"/>
      <c r="G238" s="57"/>
      <c r="H238" s="57"/>
      <c r="I238" s="57"/>
      <c r="J238" s="57"/>
      <c r="K238" s="57" t="str">
        <f t="shared" si="12"/>
        <v/>
      </c>
      <c r="L238" s="57" t="str">
        <f>IF(K238="","",VLOOKUP(F238,Tabelle1!$A$2:$I$496,9,0))</f>
        <v/>
      </c>
      <c r="M238" s="57" t="str">
        <f>IF(K238="","",VLOOKUP(F238,Tabelle1!$A$2:$G$496,7,0))</f>
        <v/>
      </c>
      <c r="N238" s="66" t="str">
        <f t="shared" si="13"/>
        <v/>
      </c>
      <c r="O238" s="66" t="str">
        <f>IF(K238="","",((K238*VLOOKUP(F238,Tabelle1!$A$2:$I$496,8,0))/$W$4))</f>
        <v/>
      </c>
      <c r="P238" s="76" t="str">
        <f>IF(K238="","",VLOOKUP(F238,Tabelle1!$A$2:$L$496,12,0))</f>
        <v/>
      </c>
    </row>
    <row r="239" spans="1:16">
      <c r="A239" s="67"/>
      <c r="B239" s="55"/>
      <c r="C239" s="55"/>
      <c r="D239" s="57" t="str">
        <f>IF(K239="","",VLOOKUP(F239,Tabelle1!$A$2:$C$496,3,0))</f>
        <v/>
      </c>
      <c r="E239" s="57" t="str">
        <f>IF(K239="","",VLOOKUP(F239,Tabelle1!$A$2:$M$496,13,0))</f>
        <v/>
      </c>
      <c r="F239" s="56"/>
      <c r="G239" s="57"/>
      <c r="H239" s="57"/>
      <c r="I239" s="57"/>
      <c r="J239" s="57"/>
      <c r="K239" s="57" t="str">
        <f t="shared" si="12"/>
        <v/>
      </c>
      <c r="L239" s="57" t="str">
        <f>IF(K239="","",VLOOKUP(F239,Tabelle1!$A$2:$I$496,9,0))</f>
        <v/>
      </c>
      <c r="M239" s="57" t="str">
        <f>IF(K239="","",VLOOKUP(F239,Tabelle1!$A$2:$G$496,7,0))</f>
        <v/>
      </c>
      <c r="N239" s="66" t="str">
        <f t="shared" si="13"/>
        <v/>
      </c>
      <c r="O239" s="66" t="str">
        <f>IF(K239="","",((K239*VLOOKUP(F239,Tabelle1!$A$2:$I$496,8,0))/$W$4))</f>
        <v/>
      </c>
      <c r="P239" s="76" t="str">
        <f>IF(K239="","",VLOOKUP(F239,Tabelle1!$A$2:$L$496,12,0))</f>
        <v/>
      </c>
    </row>
    <row r="240" spans="1:16">
      <c r="A240" s="67"/>
      <c r="B240" s="55"/>
      <c r="C240" s="55"/>
      <c r="D240" s="57" t="str">
        <f>IF(K240="","",VLOOKUP(F240,Tabelle1!$A$2:$C$496,3,0))</f>
        <v/>
      </c>
      <c r="E240" s="57" t="str">
        <f>IF(K240="","",VLOOKUP(F240,Tabelle1!$A$2:$M$496,13,0))</f>
        <v/>
      </c>
      <c r="F240" s="56"/>
      <c r="G240" s="57"/>
      <c r="H240" s="57"/>
      <c r="I240" s="57"/>
      <c r="J240" s="57"/>
      <c r="K240" s="57" t="str">
        <f t="shared" si="12"/>
        <v/>
      </c>
      <c r="L240" s="57" t="str">
        <f>IF(K240="","",VLOOKUP(F240,Tabelle1!$A$2:$I$496,9,0))</f>
        <v/>
      </c>
      <c r="M240" s="57" t="str">
        <f>IF(K240="","",VLOOKUP(F240,Tabelle1!$A$2:$G$496,7,0))</f>
        <v/>
      </c>
      <c r="N240" s="66" t="str">
        <f t="shared" si="13"/>
        <v/>
      </c>
      <c r="O240" s="66" t="str">
        <f>IF(K240="","",((K240*VLOOKUP(F240,Tabelle1!$A$2:$I$496,8,0))/$W$4))</f>
        <v/>
      </c>
      <c r="P240" s="76" t="str">
        <f>IF(K240="","",VLOOKUP(F240,Tabelle1!$A$2:$L$496,12,0))</f>
        <v/>
      </c>
    </row>
    <row r="241" spans="1:16">
      <c r="A241" s="67"/>
      <c r="B241" s="55"/>
      <c r="C241" s="55"/>
      <c r="D241" s="57" t="str">
        <f>IF(K241="","",VLOOKUP(F241,Tabelle1!$A$2:$C$496,3,0))</f>
        <v/>
      </c>
      <c r="E241" s="57" t="str">
        <f>IF(K241="","",VLOOKUP(F241,Tabelle1!$A$2:$M$496,13,0))</f>
        <v/>
      </c>
      <c r="F241" s="56"/>
      <c r="G241" s="57"/>
      <c r="H241" s="57"/>
      <c r="I241" s="57"/>
      <c r="J241" s="57"/>
      <c r="K241" s="57" t="str">
        <f t="shared" si="12"/>
        <v/>
      </c>
      <c r="L241" s="57" t="str">
        <f>IF(K241="","",VLOOKUP(F241,Tabelle1!$A$2:$I$496,9,0))</f>
        <v/>
      </c>
      <c r="M241" s="57" t="str">
        <f>IF(K241="","",VLOOKUP(F241,Tabelle1!$A$2:$G$496,7,0))</f>
        <v/>
      </c>
      <c r="N241" s="66" t="str">
        <f t="shared" si="13"/>
        <v/>
      </c>
      <c r="O241" s="66" t="str">
        <f>IF(K241="","",((K241*VLOOKUP(F241,Tabelle1!$A$2:$I$496,8,0))/$W$4))</f>
        <v/>
      </c>
      <c r="P241" s="76" t="str">
        <f>IF(K241="","",VLOOKUP(F241,Tabelle1!$A$2:$L$496,12,0))</f>
        <v/>
      </c>
    </row>
    <row r="242" spans="1:16">
      <c r="A242" s="67"/>
      <c r="B242" s="55"/>
      <c r="C242" s="55"/>
      <c r="D242" s="57" t="str">
        <f>IF(K242="","",VLOOKUP(F242,Tabelle1!$A$2:$C$496,3,0))</f>
        <v/>
      </c>
      <c r="E242" s="57" t="str">
        <f>IF(K242="","",VLOOKUP(F242,Tabelle1!$A$2:$M$496,13,0))</f>
        <v/>
      </c>
      <c r="F242" s="56"/>
      <c r="G242" s="57"/>
      <c r="H242" s="57"/>
      <c r="I242" s="57"/>
      <c r="J242" s="57"/>
      <c r="K242" s="57" t="str">
        <f t="shared" si="12"/>
        <v/>
      </c>
      <c r="L242" s="57" t="str">
        <f>IF(K242="","",VLOOKUP(F242,Tabelle1!$A$2:$I$496,9,0))</f>
        <v/>
      </c>
      <c r="M242" s="57" t="str">
        <f>IF(K242="","",VLOOKUP(F242,Tabelle1!$A$2:$G$496,7,0))</f>
        <v/>
      </c>
      <c r="N242" s="66" t="str">
        <f t="shared" si="13"/>
        <v/>
      </c>
      <c r="O242" s="66" t="str">
        <f>IF(K242="","",((K242*VLOOKUP(F242,Tabelle1!$A$2:$I$496,8,0))/$W$4))</f>
        <v/>
      </c>
      <c r="P242" s="76" t="str">
        <f>IF(K242="","",VLOOKUP(F242,Tabelle1!$A$2:$L$496,12,0))</f>
        <v/>
      </c>
    </row>
    <row r="243" spans="1:16">
      <c r="A243" s="67"/>
      <c r="B243" s="55"/>
      <c r="C243" s="55"/>
      <c r="D243" s="57" t="str">
        <f>IF(K243="","",VLOOKUP(F243,Tabelle1!$A$2:$C$496,3,0))</f>
        <v/>
      </c>
      <c r="E243" s="57" t="str">
        <f>IF(K243="","",VLOOKUP(F243,Tabelle1!$A$2:$M$496,13,0))</f>
        <v/>
      </c>
      <c r="F243" s="56"/>
      <c r="G243" s="57"/>
      <c r="H243" s="57"/>
      <c r="I243" s="57"/>
      <c r="J243" s="57"/>
      <c r="K243" s="57" t="str">
        <f t="shared" si="12"/>
        <v/>
      </c>
      <c r="L243" s="57" t="str">
        <f>IF(K243="","",VLOOKUP(F243,Tabelle1!$A$2:$I$496,9,0))</f>
        <v/>
      </c>
      <c r="M243" s="57" t="str">
        <f>IF(K243="","",VLOOKUP(F243,Tabelle1!$A$2:$G$496,7,0))</f>
        <v/>
      </c>
      <c r="N243" s="66" t="str">
        <f t="shared" si="13"/>
        <v/>
      </c>
      <c r="O243" s="66" t="str">
        <f>IF(K243="","",((K243*VLOOKUP(F243,Tabelle1!$A$2:$I$496,8,0))/$W$4))</f>
        <v/>
      </c>
      <c r="P243" s="76" t="str">
        <f>IF(K243="","",VLOOKUP(F243,Tabelle1!$A$2:$L$496,12,0))</f>
        <v/>
      </c>
    </row>
    <row r="244" spans="1:16">
      <c r="A244" s="67"/>
      <c r="B244" s="55"/>
      <c r="C244" s="55"/>
      <c r="D244" s="57" t="str">
        <f>IF(K244="","",VLOOKUP(F244,Tabelle1!$A$2:$C$496,3,0))</f>
        <v/>
      </c>
      <c r="E244" s="57" t="str">
        <f>IF(K244="","",VLOOKUP(F244,Tabelle1!$A$2:$M$496,13,0))</f>
        <v/>
      </c>
      <c r="F244" s="56"/>
      <c r="G244" s="57"/>
      <c r="H244" s="57"/>
      <c r="I244" s="57"/>
      <c r="J244" s="57"/>
      <c r="K244" s="57" t="str">
        <f t="shared" si="12"/>
        <v/>
      </c>
      <c r="L244" s="57" t="str">
        <f>IF(K244="","",VLOOKUP(F244,Tabelle1!$A$2:$I$496,9,0))</f>
        <v/>
      </c>
      <c r="M244" s="57" t="str">
        <f>IF(K244="","",VLOOKUP(F244,Tabelle1!$A$2:$G$496,7,0))</f>
        <v/>
      </c>
      <c r="N244" s="66" t="str">
        <f t="shared" si="13"/>
        <v/>
      </c>
      <c r="O244" s="66" t="str">
        <f>IF(K244="","",((K244*VLOOKUP(F244,Tabelle1!$A$2:$I$496,8,0))/$W$4))</f>
        <v/>
      </c>
      <c r="P244" s="76" t="str">
        <f>IF(K244="","",VLOOKUP(F244,Tabelle1!$A$2:$L$496,12,0))</f>
        <v/>
      </c>
    </row>
    <row r="245" spans="1:16">
      <c r="A245" s="67"/>
      <c r="B245" s="55"/>
      <c r="C245" s="55"/>
      <c r="D245" s="57" t="str">
        <f>IF(K245="","",VLOOKUP(F245,Tabelle1!$A$2:$C$496,3,0))</f>
        <v/>
      </c>
      <c r="E245" s="57" t="str">
        <f>IF(K245="","",VLOOKUP(F245,Tabelle1!$A$2:$M$496,13,0))</f>
        <v/>
      </c>
      <c r="F245" s="56"/>
      <c r="G245" s="57"/>
      <c r="H245" s="57"/>
      <c r="I245" s="57"/>
      <c r="J245" s="57"/>
      <c r="K245" s="57" t="str">
        <f t="shared" si="12"/>
        <v/>
      </c>
      <c r="L245" s="57" t="str">
        <f>IF(K245="","",VLOOKUP(F245,Tabelle1!$A$2:$I$496,9,0))</f>
        <v/>
      </c>
      <c r="M245" s="57" t="str">
        <f>IF(K245="","",VLOOKUP(F245,Tabelle1!$A$2:$G$496,7,0))</f>
        <v/>
      </c>
      <c r="N245" s="66" t="str">
        <f t="shared" si="13"/>
        <v/>
      </c>
      <c r="O245" s="66" t="str">
        <f>IF(K245="","",((K245*VLOOKUP(F245,Tabelle1!$A$2:$I$496,8,0))/$W$4))</f>
        <v/>
      </c>
      <c r="P245" s="76" t="str">
        <f>IF(K245="","",VLOOKUP(F245,Tabelle1!$A$2:$L$496,12,0))</f>
        <v/>
      </c>
    </row>
    <row r="246" spans="1:16">
      <c r="A246" s="67"/>
      <c r="B246" s="55"/>
      <c r="C246" s="55"/>
      <c r="D246" s="57" t="str">
        <f>IF(K246="","",VLOOKUP(F246,Tabelle1!$A$2:$C$496,3,0))</f>
        <v/>
      </c>
      <c r="E246" s="57" t="str">
        <f>IF(K246="","",VLOOKUP(F246,Tabelle1!$A$2:$M$496,13,0))</f>
        <v/>
      </c>
      <c r="F246" s="56"/>
      <c r="G246" s="57"/>
      <c r="H246" s="57"/>
      <c r="I246" s="57"/>
      <c r="J246" s="57"/>
      <c r="K246" s="57" t="str">
        <f t="shared" si="12"/>
        <v/>
      </c>
      <c r="L246" s="57" t="str">
        <f>IF(K246="","",VLOOKUP(F246,Tabelle1!$A$2:$I$496,9,0))</f>
        <v/>
      </c>
      <c r="M246" s="57" t="str">
        <f>IF(K246="","",VLOOKUP(F246,Tabelle1!$A$2:$G$496,7,0))</f>
        <v/>
      </c>
      <c r="N246" s="66" t="str">
        <f t="shared" si="13"/>
        <v/>
      </c>
      <c r="O246" s="66" t="str">
        <f>IF(K246="","",((K246*VLOOKUP(F246,Tabelle1!$A$2:$I$496,8,0))/$W$4))</f>
        <v/>
      </c>
      <c r="P246" s="76" t="str">
        <f>IF(K246="","",VLOOKUP(F246,Tabelle1!$A$2:$L$496,12,0))</f>
        <v/>
      </c>
    </row>
    <row r="247" spans="1:16">
      <c r="A247" s="67"/>
      <c r="B247" s="55"/>
      <c r="C247" s="55"/>
      <c r="D247" s="57" t="str">
        <f>IF(K247="","",VLOOKUP(F247,Tabelle1!$A$2:$C$496,3,0))</f>
        <v/>
      </c>
      <c r="E247" s="57" t="str">
        <f>IF(K247="","",VLOOKUP(F247,Tabelle1!$A$2:$M$496,13,0))</f>
        <v/>
      </c>
      <c r="F247" s="56"/>
      <c r="G247" s="57"/>
      <c r="H247" s="57"/>
      <c r="I247" s="57"/>
      <c r="J247" s="57"/>
      <c r="K247" s="57" t="str">
        <f t="shared" si="12"/>
        <v/>
      </c>
      <c r="L247" s="57" t="str">
        <f>IF(K247="","",VLOOKUP(F247,Tabelle1!$A$2:$I$496,9,0))</f>
        <v/>
      </c>
      <c r="M247" s="57" t="str">
        <f>IF(K247="","",VLOOKUP(F247,Tabelle1!$A$2:$G$496,7,0))</f>
        <v/>
      </c>
      <c r="N247" s="66" t="str">
        <f t="shared" si="13"/>
        <v/>
      </c>
      <c r="O247" s="66" t="str">
        <f>IF(K247="","",((K247*VLOOKUP(F247,Tabelle1!$A$2:$I$496,8,0))/$W$4))</f>
        <v/>
      </c>
      <c r="P247" s="76" t="str">
        <f>IF(K247="","",VLOOKUP(F247,Tabelle1!$A$2:$L$496,12,0))</f>
        <v/>
      </c>
    </row>
    <row r="248" spans="1:16">
      <c r="A248" s="67"/>
      <c r="B248" s="55"/>
      <c r="C248" s="55"/>
      <c r="D248" s="57" t="str">
        <f>IF(K248="","",VLOOKUP(F248,Tabelle1!$A$2:$C$496,3,0))</f>
        <v/>
      </c>
      <c r="E248" s="57" t="str">
        <f>IF(K248="","",VLOOKUP(F248,Tabelle1!$A$2:$M$496,13,0))</f>
        <v/>
      </c>
      <c r="F248" s="56"/>
      <c r="G248" s="57"/>
      <c r="H248" s="57"/>
      <c r="I248" s="57"/>
      <c r="J248" s="57"/>
      <c r="K248" s="57" t="str">
        <f t="shared" si="12"/>
        <v/>
      </c>
      <c r="L248" s="57" t="str">
        <f>IF(K248="","",VLOOKUP(F248,Tabelle1!$A$2:$I$496,9,0))</f>
        <v/>
      </c>
      <c r="M248" s="57" t="str">
        <f>IF(K248="","",VLOOKUP(F248,Tabelle1!$A$2:$G$496,7,0))</f>
        <v/>
      </c>
      <c r="N248" s="66" t="str">
        <f t="shared" si="13"/>
        <v/>
      </c>
      <c r="O248" s="66" t="str">
        <f>IF(K248="","",((K248*VLOOKUP(F248,Tabelle1!$A$2:$I$496,8,0))/$W$4))</f>
        <v/>
      </c>
      <c r="P248" s="76" t="str">
        <f>IF(K248="","",VLOOKUP(F248,Tabelle1!$A$2:$L$496,12,0))</f>
        <v/>
      </c>
    </row>
    <row r="249" spans="1:16">
      <c r="A249" s="67"/>
      <c r="B249" s="55"/>
      <c r="C249" s="55"/>
      <c r="D249" s="57" t="str">
        <f>IF(K249="","",VLOOKUP(F249,Tabelle1!$A$2:$C$496,3,0))</f>
        <v/>
      </c>
      <c r="E249" s="57" t="str">
        <f>IF(K249="","",VLOOKUP(F249,Tabelle1!$A$2:$M$496,13,0))</f>
        <v/>
      </c>
      <c r="F249" s="56"/>
      <c r="G249" s="57"/>
      <c r="H249" s="57"/>
      <c r="I249" s="57"/>
      <c r="J249" s="57"/>
      <c r="K249" s="57" t="str">
        <f t="shared" si="12"/>
        <v/>
      </c>
      <c r="L249" s="57" t="str">
        <f>IF(K249="","",VLOOKUP(F249,Tabelle1!$A$2:$I$496,9,0))</f>
        <v/>
      </c>
      <c r="M249" s="57" t="str">
        <f>IF(K249="","",VLOOKUP(F249,Tabelle1!$A$2:$G$496,7,0))</f>
        <v/>
      </c>
      <c r="N249" s="66" t="str">
        <f t="shared" si="13"/>
        <v/>
      </c>
      <c r="O249" s="66" t="str">
        <f>IF(K249="","",((K249*VLOOKUP(F249,Tabelle1!$A$2:$I$496,8,0))/$W$4))</f>
        <v/>
      </c>
      <c r="P249" s="76" t="str">
        <f>IF(K249="","",VLOOKUP(F249,Tabelle1!$A$2:$L$496,12,0))</f>
        <v/>
      </c>
    </row>
    <row r="250" spans="1:16">
      <c r="A250" s="67"/>
      <c r="B250" s="55"/>
      <c r="C250" s="55"/>
      <c r="D250" s="57" t="str">
        <f>IF(K250="","",VLOOKUP(F250,Tabelle1!$A$2:$C$496,3,0))</f>
        <v/>
      </c>
      <c r="E250" s="57" t="str">
        <f>IF(K250="","",VLOOKUP(F250,Tabelle1!$A$2:$M$496,13,0))</f>
        <v/>
      </c>
      <c r="F250" s="56"/>
      <c r="G250" s="57"/>
      <c r="H250" s="57"/>
      <c r="I250" s="57"/>
      <c r="J250" s="57"/>
      <c r="K250" s="57" t="str">
        <f t="shared" si="12"/>
        <v/>
      </c>
      <c r="L250" s="57" t="str">
        <f>IF(K250="","",VLOOKUP(F250,Tabelle1!$A$2:$I$496,9,0))</f>
        <v/>
      </c>
      <c r="M250" s="57" t="str">
        <f>IF(K250="","",VLOOKUP(F250,Tabelle1!$A$2:$G$496,7,0))</f>
        <v/>
      </c>
      <c r="N250" s="66" t="str">
        <f t="shared" si="13"/>
        <v/>
      </c>
      <c r="O250" s="66" t="str">
        <f>IF(K250="","",((K250*VLOOKUP(F250,Tabelle1!$A$2:$I$496,8,0))/$W$4))</f>
        <v/>
      </c>
      <c r="P250" s="76" t="str">
        <f>IF(K250="","",VLOOKUP(F250,Tabelle1!$A$2:$L$496,12,0))</f>
        <v/>
      </c>
    </row>
    <row r="251" spans="1:16">
      <c r="A251" s="67"/>
      <c r="B251" s="55"/>
      <c r="C251" s="55"/>
      <c r="D251" s="57" t="str">
        <f>IF(K251="","",VLOOKUP(F251,Tabelle1!$A$2:$C$496,3,0))</f>
        <v/>
      </c>
      <c r="E251" s="57" t="str">
        <f>IF(K251="","",VLOOKUP(F251,Tabelle1!$A$2:$M$496,13,0))</f>
        <v/>
      </c>
      <c r="F251" s="56"/>
      <c r="G251" s="57"/>
      <c r="H251" s="57"/>
      <c r="I251" s="57"/>
      <c r="J251" s="57"/>
      <c r="K251" s="57" t="str">
        <f t="shared" si="12"/>
        <v/>
      </c>
      <c r="L251" s="57" t="str">
        <f>IF(K251="","",VLOOKUP(F251,Tabelle1!$A$2:$I$496,9,0))</f>
        <v/>
      </c>
      <c r="M251" s="57" t="str">
        <f>IF(K251="","",VLOOKUP(F251,Tabelle1!$A$2:$G$496,7,0))</f>
        <v/>
      </c>
      <c r="N251" s="66" t="str">
        <f t="shared" si="13"/>
        <v/>
      </c>
      <c r="O251" s="66" t="str">
        <f>IF(K251="","",((K251*VLOOKUP(F251,Tabelle1!$A$2:$I$496,8,0))/$W$4))</f>
        <v/>
      </c>
      <c r="P251" s="76" t="str">
        <f>IF(K251="","",VLOOKUP(F251,Tabelle1!$A$2:$L$496,12,0))</f>
        <v/>
      </c>
    </row>
    <row r="252" spans="1:16">
      <c r="A252" s="67"/>
      <c r="B252" s="55"/>
      <c r="C252" s="55"/>
      <c r="D252" s="57" t="str">
        <f>IF(K252="","",VLOOKUP(F252,Tabelle1!$A$2:$C$496,3,0))</f>
        <v/>
      </c>
      <c r="E252" s="57" t="str">
        <f>IF(K252="","",VLOOKUP(F252,Tabelle1!$A$2:$M$496,13,0))</f>
        <v/>
      </c>
      <c r="F252" s="56"/>
      <c r="G252" s="57"/>
      <c r="H252" s="57"/>
      <c r="I252" s="57"/>
      <c r="J252" s="57"/>
      <c r="K252" s="57" t="str">
        <f t="shared" si="12"/>
        <v/>
      </c>
      <c r="L252" s="57" t="str">
        <f>IF(K252="","",VLOOKUP(F252,Tabelle1!$A$2:$I$496,9,0))</f>
        <v/>
      </c>
      <c r="M252" s="57" t="str">
        <f>IF(K252="","",VLOOKUP(F252,Tabelle1!$A$2:$G$496,7,0))</f>
        <v/>
      </c>
      <c r="N252" s="66" t="str">
        <f t="shared" si="13"/>
        <v/>
      </c>
      <c r="O252" s="66" t="str">
        <f>IF(K252="","",((K252*VLOOKUP(F252,Tabelle1!$A$2:$I$496,8,0))/$W$4))</f>
        <v/>
      </c>
      <c r="P252" s="76" t="str">
        <f>IF(K252="","",VLOOKUP(F252,Tabelle1!$A$2:$L$496,12,0))</f>
        <v/>
      </c>
    </row>
    <row r="253" spans="1:16">
      <c r="A253" s="67"/>
      <c r="B253" s="55"/>
      <c r="C253" s="55"/>
      <c r="D253" s="57" t="str">
        <f>IF(K253="","",VLOOKUP(F253,Tabelle1!$A$2:$C$496,3,0))</f>
        <v/>
      </c>
      <c r="E253" s="57" t="str">
        <f>IF(K253="","",VLOOKUP(F253,Tabelle1!$A$2:$M$496,13,0))</f>
        <v/>
      </c>
      <c r="F253" s="56"/>
      <c r="G253" s="57"/>
      <c r="H253" s="57"/>
      <c r="I253" s="57"/>
      <c r="J253" s="57"/>
      <c r="K253" s="57" t="str">
        <f t="shared" si="12"/>
        <v/>
      </c>
      <c r="L253" s="57" t="str">
        <f>IF(K253="","",VLOOKUP(F253,Tabelle1!$A$2:$I$496,9,0))</f>
        <v/>
      </c>
      <c r="M253" s="57" t="str">
        <f>IF(K253="","",VLOOKUP(F253,Tabelle1!$A$2:$G$496,7,0))</f>
        <v/>
      </c>
      <c r="N253" s="66" t="str">
        <f t="shared" si="13"/>
        <v/>
      </c>
      <c r="O253" s="66" t="str">
        <f>IF(K253="","",((K253*VLOOKUP(F253,Tabelle1!$A$2:$I$496,8,0))/$W$4))</f>
        <v/>
      </c>
      <c r="P253" s="76" t="str">
        <f>IF(K253="","",VLOOKUP(F253,Tabelle1!$A$2:$L$496,12,0))</f>
        <v/>
      </c>
    </row>
    <row r="254" spans="1:16">
      <c r="A254" s="67"/>
      <c r="B254" s="55"/>
      <c r="C254" s="55"/>
      <c r="D254" s="57" t="str">
        <f>IF(K254="","",VLOOKUP(F254,Tabelle1!$A$2:$C$496,3,0))</f>
        <v/>
      </c>
      <c r="E254" s="57" t="str">
        <f>IF(K254="","",VLOOKUP(F254,Tabelle1!$A$2:$M$496,13,0))</f>
        <v/>
      </c>
      <c r="F254" s="56"/>
      <c r="G254" s="57"/>
      <c r="H254" s="57"/>
      <c r="I254" s="57"/>
      <c r="J254" s="57"/>
      <c r="K254" s="57" t="str">
        <f t="shared" si="12"/>
        <v/>
      </c>
      <c r="L254" s="57" t="str">
        <f>IF(K254="","",VLOOKUP(F254,Tabelle1!$A$2:$I$496,9,0))</f>
        <v/>
      </c>
      <c r="M254" s="57" t="str">
        <f>IF(K254="","",VLOOKUP(F254,Tabelle1!$A$2:$G$496,7,0))</f>
        <v/>
      </c>
      <c r="N254" s="66" t="str">
        <f t="shared" si="13"/>
        <v/>
      </c>
      <c r="O254" s="66" t="str">
        <f>IF(K254="","",((K254*VLOOKUP(F254,Tabelle1!$A$2:$I$496,8,0))/$W$4))</f>
        <v/>
      </c>
      <c r="P254" s="76" t="str">
        <f>IF(K254="","",VLOOKUP(F254,Tabelle1!$A$2:$L$496,12,0))</f>
        <v/>
      </c>
    </row>
    <row r="255" spans="1:16">
      <c r="A255" s="67"/>
      <c r="B255" s="55"/>
      <c r="C255" s="55"/>
      <c r="D255" s="57" t="str">
        <f>IF(K255="","",VLOOKUP(F255,Tabelle1!$A$2:$C$496,3,0))</f>
        <v/>
      </c>
      <c r="E255" s="57" t="str">
        <f>IF(K255="","",VLOOKUP(F255,Tabelle1!$A$2:$M$496,13,0))</f>
        <v/>
      </c>
      <c r="F255" s="56"/>
      <c r="G255" s="57"/>
      <c r="H255" s="57"/>
      <c r="I255" s="57"/>
      <c r="J255" s="57"/>
      <c r="K255" s="57" t="str">
        <f t="shared" si="12"/>
        <v/>
      </c>
      <c r="L255" s="57" t="str">
        <f>IF(K255="","",VLOOKUP(F255,Tabelle1!$A$2:$I$496,9,0))</f>
        <v/>
      </c>
      <c r="M255" s="57" t="str">
        <f>IF(K255="","",VLOOKUP(F255,Tabelle1!$A$2:$G$496,7,0))</f>
        <v/>
      </c>
      <c r="N255" s="66" t="str">
        <f t="shared" si="13"/>
        <v/>
      </c>
      <c r="O255" s="66" t="str">
        <f>IF(K255="","",((K255*VLOOKUP(F255,Tabelle1!$A$2:$I$496,8,0))/$W$4))</f>
        <v/>
      </c>
      <c r="P255" s="76" t="str">
        <f>IF(K255="","",VLOOKUP(F255,Tabelle1!$A$2:$L$496,12,0))</f>
        <v/>
      </c>
    </row>
    <row r="256" spans="1:16">
      <c r="A256" s="67"/>
      <c r="B256" s="55"/>
      <c r="C256" s="55"/>
      <c r="D256" s="57" t="str">
        <f>IF(K256="","",VLOOKUP(F256,Tabelle1!$A$2:$C$496,3,0))</f>
        <v/>
      </c>
      <c r="E256" s="57" t="str">
        <f>IF(K256="","",VLOOKUP(F256,Tabelle1!$A$2:$M$496,13,0))</f>
        <v/>
      </c>
      <c r="F256" s="56"/>
      <c r="G256" s="57"/>
      <c r="H256" s="57"/>
      <c r="I256" s="57"/>
      <c r="J256" s="57"/>
      <c r="K256" s="57" t="str">
        <f t="shared" si="12"/>
        <v/>
      </c>
      <c r="L256" s="57" t="str">
        <f>IF(K256="","",VLOOKUP(F256,Tabelle1!$A$2:$I$496,9,0))</f>
        <v/>
      </c>
      <c r="M256" s="57" t="str">
        <f>IF(K256="","",VLOOKUP(F256,Tabelle1!$A$2:$G$496,7,0))</f>
        <v/>
      </c>
      <c r="N256" s="66" t="str">
        <f t="shared" si="13"/>
        <v/>
      </c>
      <c r="O256" s="66" t="str">
        <f>IF(K256="","",((K256*VLOOKUP(F256,Tabelle1!$A$2:$I$496,8,0))/$W$4))</f>
        <v/>
      </c>
      <c r="P256" s="76" t="str">
        <f>IF(K256="","",VLOOKUP(F256,Tabelle1!$A$2:$L$496,12,0))</f>
        <v/>
      </c>
    </row>
    <row r="257" spans="1:16">
      <c r="A257" s="67"/>
      <c r="B257" s="55"/>
      <c r="C257" s="55"/>
      <c r="D257" s="57" t="str">
        <f>IF(K257="","",VLOOKUP(F257,Tabelle1!$A$2:$C$496,3,0))</f>
        <v/>
      </c>
      <c r="E257" s="57" t="str">
        <f>IF(K257="","",VLOOKUP(F257,Tabelle1!$A$2:$M$496,13,0))</f>
        <v/>
      </c>
      <c r="F257" s="56"/>
      <c r="G257" s="57"/>
      <c r="H257" s="57"/>
      <c r="I257" s="57"/>
      <c r="J257" s="57"/>
      <c r="K257" s="57" t="str">
        <f t="shared" si="12"/>
        <v/>
      </c>
      <c r="L257" s="57" t="str">
        <f>IF(K257="","",VLOOKUP(F257,Tabelle1!$A$2:$I$496,9,0))</f>
        <v/>
      </c>
      <c r="M257" s="57" t="str">
        <f>IF(K257="","",VLOOKUP(F257,Tabelle1!$A$2:$G$496,7,0))</f>
        <v/>
      </c>
      <c r="N257" s="66" t="str">
        <f t="shared" si="13"/>
        <v/>
      </c>
      <c r="O257" s="66" t="str">
        <f>IF(K257="","",((K257*VLOOKUP(F257,Tabelle1!$A$2:$I$496,8,0))/$W$4))</f>
        <v/>
      </c>
      <c r="P257" s="76" t="str">
        <f>IF(K257="","",VLOOKUP(F257,Tabelle1!$A$2:$L$496,12,0))</f>
        <v/>
      </c>
    </row>
    <row r="258" spans="1:16">
      <c r="A258" s="67"/>
      <c r="B258" s="55"/>
      <c r="C258" s="55"/>
      <c r="D258" s="57" t="str">
        <f>IF(K258="","",VLOOKUP(F258,Tabelle1!$A$2:$C$496,3,0))</f>
        <v/>
      </c>
      <c r="E258" s="57" t="str">
        <f>IF(K258="","",VLOOKUP(F258,Tabelle1!$A$2:$M$496,13,0))</f>
        <v/>
      </c>
      <c r="F258" s="56"/>
      <c r="G258" s="57"/>
      <c r="H258" s="57"/>
      <c r="I258" s="57"/>
      <c r="J258" s="57"/>
      <c r="K258" s="57" t="str">
        <f t="shared" si="12"/>
        <v/>
      </c>
      <c r="L258" s="57" t="str">
        <f>IF(K258="","",VLOOKUP(F258,Tabelle1!$A$2:$I$496,9,0))</f>
        <v/>
      </c>
      <c r="M258" s="57" t="str">
        <f>IF(K258="","",VLOOKUP(F258,Tabelle1!$A$2:$G$496,7,0))</f>
        <v/>
      </c>
      <c r="N258" s="66" t="str">
        <f t="shared" si="13"/>
        <v/>
      </c>
      <c r="O258" s="66" t="str">
        <f>IF(K258="","",((K258*VLOOKUP(F258,Tabelle1!$A$2:$I$496,8,0))/$W$4))</f>
        <v/>
      </c>
      <c r="P258" s="76" t="str">
        <f>IF(K258="","",VLOOKUP(F258,Tabelle1!$A$2:$L$496,12,0))</f>
        <v/>
      </c>
    </row>
    <row r="259" spans="1:16">
      <c r="A259" s="67"/>
      <c r="B259" s="55"/>
      <c r="C259" s="55"/>
      <c r="D259" s="57" t="str">
        <f>IF(K259="","",VLOOKUP(F259,Tabelle1!$A$2:$C$496,3,0))</f>
        <v/>
      </c>
      <c r="E259" s="57" t="str">
        <f>IF(K259="","",VLOOKUP(F259,Tabelle1!$A$2:$M$496,13,0))</f>
        <v/>
      </c>
      <c r="F259" s="56"/>
      <c r="G259" s="57"/>
      <c r="H259" s="57"/>
      <c r="I259" s="57"/>
      <c r="J259" s="57"/>
      <c r="K259" s="57" t="str">
        <f t="shared" si="12"/>
        <v/>
      </c>
      <c r="L259" s="57" t="str">
        <f>IF(K259="","",VLOOKUP(F259,Tabelle1!$A$2:$I$496,9,0))</f>
        <v/>
      </c>
      <c r="M259" s="57" t="str">
        <f>IF(K259="","",VLOOKUP(F259,Tabelle1!$A$2:$G$496,7,0))</f>
        <v/>
      </c>
      <c r="N259" s="66" t="str">
        <f t="shared" si="13"/>
        <v/>
      </c>
      <c r="O259" s="66" t="str">
        <f>IF(K259="","",((K259*VLOOKUP(F259,Tabelle1!$A$2:$I$496,8,0))/$W$4))</f>
        <v/>
      </c>
      <c r="P259" s="76" t="str">
        <f>IF(K259="","",VLOOKUP(F259,Tabelle1!$A$2:$L$496,12,0))</f>
        <v/>
      </c>
    </row>
    <row r="260" spans="1:16">
      <c r="A260" s="67"/>
      <c r="B260" s="55"/>
      <c r="C260" s="55"/>
      <c r="D260" s="57" t="str">
        <f>IF(K260="","",VLOOKUP(F260,Tabelle1!$A$2:$C$496,3,0))</f>
        <v/>
      </c>
      <c r="E260" s="57" t="str">
        <f>IF(K260="","",VLOOKUP(F260,Tabelle1!$A$2:$M$496,13,0))</f>
        <v/>
      </c>
      <c r="F260" s="56"/>
      <c r="G260" s="57"/>
      <c r="H260" s="57"/>
      <c r="I260" s="57"/>
      <c r="J260" s="57"/>
      <c r="K260" s="57" t="str">
        <f t="shared" si="12"/>
        <v/>
      </c>
      <c r="L260" s="57" t="str">
        <f>IF(K260="","",VLOOKUP(F260,Tabelle1!$A$2:$I$496,9,0))</f>
        <v/>
      </c>
      <c r="M260" s="57" t="str">
        <f>IF(K260="","",VLOOKUP(F260,Tabelle1!$A$2:$G$496,7,0))</f>
        <v/>
      </c>
      <c r="N260" s="66" t="str">
        <f t="shared" si="13"/>
        <v/>
      </c>
      <c r="O260" s="66" t="str">
        <f>IF(K260="","",((K260*VLOOKUP(F260,Tabelle1!$A$2:$I$496,8,0))/$W$4))</f>
        <v/>
      </c>
      <c r="P260" s="76" t="str">
        <f>IF(K260="","",VLOOKUP(F260,Tabelle1!$A$2:$L$496,12,0))</f>
        <v/>
      </c>
    </row>
    <row r="261" spans="1:16">
      <c r="A261" s="67"/>
      <c r="B261" s="55"/>
      <c r="C261" s="55"/>
      <c r="D261" s="57" t="str">
        <f>IF(K261="","",VLOOKUP(F261,Tabelle1!$A$2:$C$496,3,0))</f>
        <v/>
      </c>
      <c r="E261" s="57" t="str">
        <f>IF(K261="","",VLOOKUP(F261,Tabelle1!$A$2:$M$496,13,0))</f>
        <v/>
      </c>
      <c r="F261" s="56"/>
      <c r="G261" s="57"/>
      <c r="H261" s="57"/>
      <c r="I261" s="57"/>
      <c r="J261" s="57"/>
      <c r="K261" s="57" t="str">
        <f t="shared" ref="K261:K265" si="14">IF(F261="","",C261*G261*H261)</f>
        <v/>
      </c>
      <c r="L261" s="57" t="str">
        <f>IF(K261="","",VLOOKUP(F261,Tabelle1!$A$2:$I$496,9,0))</f>
        <v/>
      </c>
      <c r="M261" s="57" t="str">
        <f>IF(K261="","",VLOOKUP(F261,Tabelle1!$A$2:$G$496,7,0))</f>
        <v/>
      </c>
      <c r="N261" s="66" t="str">
        <f t="shared" ref="N261:N265" si="15">IF(M261&gt;0,O261,"")</f>
        <v/>
      </c>
      <c r="O261" s="66" t="str">
        <f>IF(K261="","",((K261*VLOOKUP(F261,Tabelle1!$A$2:$I$496,8,0))/$W$4))</f>
        <v/>
      </c>
      <c r="P261" s="76" t="str">
        <f>IF(K261="","",VLOOKUP(F261,Tabelle1!$A$2:$L$496,12,0))</f>
        <v/>
      </c>
    </row>
    <row r="262" spans="1:16">
      <c r="A262" s="67"/>
      <c r="B262" s="55"/>
      <c r="C262" s="55"/>
      <c r="D262" s="57" t="str">
        <f>IF(K262="","",VLOOKUP(F262,Tabelle1!$A$2:$C$496,3,0))</f>
        <v/>
      </c>
      <c r="E262" s="57" t="str">
        <f>IF(K262="","",VLOOKUP(F262,Tabelle1!$A$2:$M$496,13,0))</f>
        <v/>
      </c>
      <c r="F262" s="56"/>
      <c r="G262" s="57"/>
      <c r="H262" s="57"/>
      <c r="I262" s="57"/>
      <c r="J262" s="57"/>
      <c r="K262" s="57" t="str">
        <f t="shared" si="14"/>
        <v/>
      </c>
      <c r="L262" s="57" t="str">
        <f>IF(K262="","",VLOOKUP(F262,Tabelle1!$A$2:$I$496,9,0))</f>
        <v/>
      </c>
      <c r="M262" s="57" t="str">
        <f>IF(K262="","",VLOOKUP(F262,Tabelle1!$A$2:$G$496,7,0))</f>
        <v/>
      </c>
      <c r="N262" s="66" t="str">
        <f t="shared" si="15"/>
        <v/>
      </c>
      <c r="O262" s="66" t="str">
        <f>IF(K262="","",((K262*VLOOKUP(F262,Tabelle1!$A$2:$I$496,8,0))/$W$4))</f>
        <v/>
      </c>
      <c r="P262" s="76" t="str">
        <f>IF(K262="","",VLOOKUP(F262,Tabelle1!$A$2:$L$496,12,0))</f>
        <v/>
      </c>
    </row>
    <row r="263" spans="1:16">
      <c r="A263" s="67"/>
      <c r="B263" s="55"/>
      <c r="C263" s="55"/>
      <c r="D263" s="57" t="str">
        <f>IF(K263="","",VLOOKUP(F263,Tabelle1!$A$2:$C$496,3,0))</f>
        <v/>
      </c>
      <c r="E263" s="57" t="str">
        <f>IF(K263="","",VLOOKUP(F263,Tabelle1!$A$2:$M$496,13,0))</f>
        <v/>
      </c>
      <c r="F263" s="56"/>
      <c r="G263" s="57"/>
      <c r="H263" s="57"/>
      <c r="I263" s="57"/>
      <c r="J263" s="57"/>
      <c r="K263" s="57" t="str">
        <f t="shared" si="14"/>
        <v/>
      </c>
      <c r="L263" s="57" t="str">
        <f>IF(K263="","",VLOOKUP(F263,Tabelle1!$A$2:$I$496,9,0))</f>
        <v/>
      </c>
      <c r="M263" s="57" t="str">
        <f>IF(K263="","",VLOOKUP(F263,Tabelle1!$A$2:$G$496,7,0))</f>
        <v/>
      </c>
      <c r="N263" s="66" t="str">
        <f t="shared" si="15"/>
        <v/>
      </c>
      <c r="O263" s="66" t="str">
        <f>IF(K263="","",((K263*VLOOKUP(F263,Tabelle1!$A$2:$I$496,8,0))/$W$4))</f>
        <v/>
      </c>
      <c r="P263" s="76" t="str">
        <f>IF(K263="","",VLOOKUP(F263,Tabelle1!$A$2:$L$496,12,0))</f>
        <v/>
      </c>
    </row>
    <row r="264" spans="1:16">
      <c r="A264" s="67"/>
      <c r="B264" s="55"/>
      <c r="C264" s="55"/>
      <c r="D264" s="57" t="str">
        <f>IF(K264="","",VLOOKUP(F264,Tabelle1!$A$2:$C$496,3,0))</f>
        <v/>
      </c>
      <c r="E264" s="57" t="str">
        <f>IF(K264="","",VLOOKUP(F264,Tabelle1!$A$2:$M$496,13,0))</f>
        <v/>
      </c>
      <c r="F264" s="56"/>
      <c r="G264" s="57"/>
      <c r="H264" s="57"/>
      <c r="I264" s="57"/>
      <c r="J264" s="57"/>
      <c r="K264" s="57" t="str">
        <f t="shared" si="14"/>
        <v/>
      </c>
      <c r="L264" s="57" t="str">
        <f>IF(K264="","",VLOOKUP(F264,Tabelle1!$A$2:$I$496,9,0))</f>
        <v/>
      </c>
      <c r="M264" s="57" t="str">
        <f>IF(K264="","",VLOOKUP(F264,Tabelle1!$A$2:$G$496,7,0))</f>
        <v/>
      </c>
      <c r="N264" s="66" t="str">
        <f t="shared" si="15"/>
        <v/>
      </c>
      <c r="O264" s="66" t="str">
        <f>IF(K264="","",((K264*VLOOKUP(F264,Tabelle1!$A$2:$I$496,8,0))/$W$4))</f>
        <v/>
      </c>
      <c r="P264" s="76" t="str">
        <f>IF(K264="","",VLOOKUP(F264,Tabelle1!$A$2:$L$496,12,0))</f>
        <v/>
      </c>
    </row>
    <row r="265" spans="1:16">
      <c r="A265" s="67"/>
      <c r="B265" s="55"/>
      <c r="C265" s="55"/>
      <c r="D265" s="57" t="str">
        <f>IF(K265="","",VLOOKUP(F265,Tabelle1!$A$2:$C$496,3,0))</f>
        <v/>
      </c>
      <c r="E265" s="57" t="str">
        <f>IF(K265="","",VLOOKUP(F265,Tabelle1!$A$2:$M$496,13,0))</f>
        <v/>
      </c>
      <c r="F265" s="56"/>
      <c r="G265" s="57"/>
      <c r="H265" s="57"/>
      <c r="I265" s="57"/>
      <c r="J265" s="57"/>
      <c r="K265" s="57" t="str">
        <f t="shared" si="14"/>
        <v/>
      </c>
      <c r="L265" s="57" t="str">
        <f>IF(K265="","",VLOOKUP(F265,Tabelle1!$A$2:$I$496,9,0))</f>
        <v/>
      </c>
      <c r="M265" s="57" t="str">
        <f>IF(K265="","",VLOOKUP(F265,Tabelle1!$A$2:$G$496,7,0))</f>
        <v/>
      </c>
      <c r="N265" s="66" t="str">
        <f t="shared" si="15"/>
        <v/>
      </c>
      <c r="O265" s="66" t="str">
        <f>IF(K265="","",((K265*VLOOKUP(F265,Tabelle1!$A$2:$I$496,8,0))/$W$4))</f>
        <v/>
      </c>
      <c r="P265" s="76" t="str">
        <f>IF(K265="","",VLOOKUP(F265,Tabelle1!$A$2:$L$496,12,0))</f>
        <v/>
      </c>
    </row>
    <row r="266" spans="1:16">
      <c r="A266" s="67"/>
      <c r="B266" s="55"/>
      <c r="C266" s="55"/>
      <c r="D266" s="57" t="str">
        <f>IF(K266="","",VLOOKUP(F266,Tabelle1!$A$2:$C$496,3,0))</f>
        <v/>
      </c>
      <c r="E266" s="57" t="str">
        <f>IF(K266="","",VLOOKUP(F266,Tabelle1!$A$2:$M$496,13,0))</f>
        <v/>
      </c>
      <c r="F266" s="56"/>
      <c r="G266" s="57"/>
      <c r="H266" s="57"/>
      <c r="I266" s="57"/>
      <c r="J266" s="57"/>
      <c r="K266" s="57" t="str">
        <f t="shared" ref="K266" si="16">IF(F266="","",C266*G266*H266)</f>
        <v/>
      </c>
      <c r="L266" s="57" t="str">
        <f>IF(K266="","",VLOOKUP(F266,Tabelle1!$A$2:$I$496,9,0))</f>
        <v/>
      </c>
      <c r="M266" s="57" t="str">
        <f>IF(K266="","",VLOOKUP(F266,Tabelle1!$A$2:$G$496,7,0))</f>
        <v/>
      </c>
      <c r="N266" s="66" t="str">
        <f t="shared" ref="N266" si="17">IF(M266&gt;0,O266,"")</f>
        <v/>
      </c>
      <c r="O266" s="66" t="str">
        <f>IF(K266="","",((K266*VLOOKUP(F266,Tabelle1!$A$2:$I$496,8,0))/$W$4))</f>
        <v/>
      </c>
      <c r="P266" s="76" t="str">
        <f>IF(K266="","",VLOOKUP(F266,Tabelle1!$A$2:$L$496,12,0))</f>
        <v/>
      </c>
    </row>
    <row r="267" spans="1:16">
      <c r="A267" s="67"/>
      <c r="B267" s="55"/>
      <c r="C267" s="55"/>
      <c r="D267" s="57" t="str">
        <f>IF(K267="","",VLOOKUP(F267,Tabelle1!$A$2:$C$496,3,0))</f>
        <v/>
      </c>
      <c r="E267" s="57" t="str">
        <f>IF(K267="","",VLOOKUP(F267,Tabelle1!$A$2:$M$496,13,0))</f>
        <v/>
      </c>
      <c r="F267" s="56"/>
      <c r="G267" s="57"/>
      <c r="H267" s="57"/>
      <c r="I267" s="57"/>
      <c r="J267" s="57"/>
      <c r="K267" s="57" t="str">
        <f t="shared" ref="K267:K330" si="18">IF(F267="","",C267*G267*H267)</f>
        <v/>
      </c>
      <c r="L267" s="57" t="str">
        <f>IF(K267="","",VLOOKUP(F267,Tabelle1!$A$2:$I$496,9,0))</f>
        <v/>
      </c>
      <c r="M267" s="57" t="str">
        <f>IF(K267="","",VLOOKUP(F267,Tabelle1!$A$2:$G$496,7,0))</f>
        <v/>
      </c>
      <c r="N267" s="66" t="str">
        <f t="shared" ref="N267:N330" si="19">IF(M267&gt;0,O267,"")</f>
        <v/>
      </c>
      <c r="O267" s="66" t="str">
        <f>IF(K267="","",((K267*VLOOKUP(F267,Tabelle1!$A$2:$I$496,8,0))/$W$4))</f>
        <v/>
      </c>
      <c r="P267" s="76" t="str">
        <f>IF(K267="","",VLOOKUP(F267,Tabelle1!$A$2:$L$496,12,0))</f>
        <v/>
      </c>
    </row>
    <row r="268" spans="1:16">
      <c r="A268" s="67"/>
      <c r="B268" s="55"/>
      <c r="C268" s="55"/>
      <c r="D268" s="57" t="str">
        <f>IF(K268="","",VLOOKUP(F268,Tabelle1!$A$2:$C$496,3,0))</f>
        <v/>
      </c>
      <c r="E268" s="57" t="str">
        <f>IF(K268="","",VLOOKUP(F268,Tabelle1!$A$2:$M$496,13,0))</f>
        <v/>
      </c>
      <c r="F268" s="56"/>
      <c r="G268" s="57"/>
      <c r="H268" s="57"/>
      <c r="I268" s="57"/>
      <c r="J268" s="57"/>
      <c r="K268" s="57" t="str">
        <f t="shared" si="18"/>
        <v/>
      </c>
      <c r="L268" s="57" t="str">
        <f>IF(K268="","",VLOOKUP(F268,Tabelle1!$A$2:$I$496,9,0))</f>
        <v/>
      </c>
      <c r="M268" s="57" t="str">
        <f>IF(K268="","",VLOOKUP(F268,Tabelle1!$A$2:$G$496,7,0))</f>
        <v/>
      </c>
      <c r="N268" s="66" t="str">
        <f t="shared" si="19"/>
        <v/>
      </c>
      <c r="O268" s="66" t="str">
        <f>IF(K268="","",((K268*VLOOKUP(F268,Tabelle1!$A$2:$I$496,8,0))/$W$4))</f>
        <v/>
      </c>
      <c r="P268" s="76" t="str">
        <f>IF(K268="","",VLOOKUP(F268,Tabelle1!$A$2:$L$496,12,0))</f>
        <v/>
      </c>
    </row>
    <row r="269" spans="1:16">
      <c r="A269" s="67"/>
      <c r="B269" s="55"/>
      <c r="C269" s="55"/>
      <c r="D269" s="57" t="str">
        <f>IF(K269="","",VLOOKUP(F269,Tabelle1!$A$2:$C$496,3,0))</f>
        <v/>
      </c>
      <c r="E269" s="57" t="str">
        <f>IF(K269="","",VLOOKUP(F269,Tabelle1!$A$2:$M$496,13,0))</f>
        <v/>
      </c>
      <c r="F269" s="56"/>
      <c r="G269" s="57"/>
      <c r="H269" s="57"/>
      <c r="I269" s="57"/>
      <c r="J269" s="57"/>
      <c r="K269" s="57" t="str">
        <f t="shared" si="18"/>
        <v/>
      </c>
      <c r="L269" s="57" t="str">
        <f>IF(K269="","",VLOOKUP(F269,Tabelle1!$A$2:$I$496,9,0))</f>
        <v/>
      </c>
      <c r="M269" s="57" t="str">
        <f>IF(K269="","",VLOOKUP(F269,Tabelle1!$A$2:$G$496,7,0))</f>
        <v/>
      </c>
      <c r="N269" s="66" t="str">
        <f t="shared" si="19"/>
        <v/>
      </c>
      <c r="O269" s="66" t="str">
        <f>IF(K269="","",((K269*VLOOKUP(F269,Tabelle1!$A$2:$I$496,8,0))/$W$4))</f>
        <v/>
      </c>
      <c r="P269" s="76" t="str">
        <f>IF(K269="","",VLOOKUP(F269,Tabelle1!$A$2:$L$496,12,0))</f>
        <v/>
      </c>
    </row>
    <row r="270" spans="1:16">
      <c r="A270" s="67"/>
      <c r="B270" s="55"/>
      <c r="C270" s="55"/>
      <c r="D270" s="57" t="str">
        <f>IF(K270="","",VLOOKUP(F270,Tabelle1!$A$2:$C$496,3,0))</f>
        <v/>
      </c>
      <c r="E270" s="57" t="str">
        <f>IF(K270="","",VLOOKUP(F270,Tabelle1!$A$2:$M$496,13,0))</f>
        <v/>
      </c>
      <c r="F270" s="56"/>
      <c r="G270" s="57"/>
      <c r="H270" s="57"/>
      <c r="I270" s="57"/>
      <c r="J270" s="57"/>
      <c r="K270" s="57" t="str">
        <f t="shared" si="18"/>
        <v/>
      </c>
      <c r="L270" s="57" t="str">
        <f>IF(K270="","",VLOOKUP(F270,Tabelle1!$A$2:$I$496,9,0))</f>
        <v/>
      </c>
      <c r="M270" s="57" t="str">
        <f>IF(K270="","",VLOOKUP(F270,Tabelle1!$A$2:$G$496,7,0))</f>
        <v/>
      </c>
      <c r="N270" s="66" t="str">
        <f t="shared" si="19"/>
        <v/>
      </c>
      <c r="O270" s="66" t="str">
        <f>IF(K270="","",((K270*VLOOKUP(F270,Tabelle1!$A$2:$I$496,8,0))/$W$4))</f>
        <v/>
      </c>
      <c r="P270" s="76" t="str">
        <f>IF(K270="","",VLOOKUP(F270,Tabelle1!$A$2:$L$496,12,0))</f>
        <v/>
      </c>
    </row>
    <row r="271" spans="1:16">
      <c r="A271" s="67"/>
      <c r="B271" s="55"/>
      <c r="C271" s="55"/>
      <c r="D271" s="57" t="str">
        <f>IF(K271="","",VLOOKUP(F271,Tabelle1!$A$2:$C$496,3,0))</f>
        <v/>
      </c>
      <c r="E271" s="57" t="str">
        <f>IF(K271="","",VLOOKUP(F271,Tabelle1!$A$2:$M$496,13,0))</f>
        <v/>
      </c>
      <c r="F271" s="56"/>
      <c r="G271" s="57"/>
      <c r="H271" s="57"/>
      <c r="I271" s="57"/>
      <c r="J271" s="57"/>
      <c r="K271" s="57" t="str">
        <f t="shared" si="18"/>
        <v/>
      </c>
      <c r="L271" s="57" t="str">
        <f>IF(K271="","",VLOOKUP(F271,Tabelle1!$A$2:$I$496,9,0))</f>
        <v/>
      </c>
      <c r="M271" s="57" t="str">
        <f>IF(K271="","",VLOOKUP(F271,Tabelle1!$A$2:$G$496,7,0))</f>
        <v/>
      </c>
      <c r="N271" s="66" t="str">
        <f t="shared" si="19"/>
        <v/>
      </c>
      <c r="O271" s="66" t="str">
        <f>IF(K271="","",((K271*VLOOKUP(F271,Tabelle1!$A$2:$I$496,8,0))/$W$4))</f>
        <v/>
      </c>
      <c r="P271" s="76" t="str">
        <f>IF(K271="","",VLOOKUP(F271,Tabelle1!$A$2:$L$496,12,0))</f>
        <v/>
      </c>
    </row>
    <row r="272" spans="1:16">
      <c r="A272" s="67"/>
      <c r="B272" s="55"/>
      <c r="C272" s="55"/>
      <c r="D272" s="57" t="str">
        <f>IF(K272="","",VLOOKUP(F272,Tabelle1!$A$2:$C$496,3,0))</f>
        <v/>
      </c>
      <c r="E272" s="57" t="str">
        <f>IF(K272="","",VLOOKUP(F272,Tabelle1!$A$2:$M$496,13,0))</f>
        <v/>
      </c>
      <c r="F272" s="56"/>
      <c r="G272" s="57"/>
      <c r="H272" s="57"/>
      <c r="I272" s="57"/>
      <c r="J272" s="57"/>
      <c r="K272" s="57" t="str">
        <f t="shared" si="18"/>
        <v/>
      </c>
      <c r="L272" s="57" t="str">
        <f>IF(K272="","",VLOOKUP(F272,Tabelle1!$A$2:$I$496,9,0))</f>
        <v/>
      </c>
      <c r="M272" s="57" t="str">
        <f>IF(K272="","",VLOOKUP(F272,Tabelle1!$A$2:$G$496,7,0))</f>
        <v/>
      </c>
      <c r="N272" s="66" t="str">
        <f t="shared" si="19"/>
        <v/>
      </c>
      <c r="O272" s="66" t="str">
        <f>IF(K272="","",((K272*VLOOKUP(F272,Tabelle1!$A$2:$I$496,8,0))/$W$4))</f>
        <v/>
      </c>
      <c r="P272" s="76" t="str">
        <f>IF(K272="","",VLOOKUP(F272,Tabelle1!$A$2:$L$496,12,0))</f>
        <v/>
      </c>
    </row>
    <row r="273" spans="1:16">
      <c r="A273" s="67"/>
      <c r="B273" s="55"/>
      <c r="C273" s="55"/>
      <c r="D273" s="57" t="str">
        <f>IF(K273="","",VLOOKUP(F273,Tabelle1!$A$2:$C$496,3,0))</f>
        <v/>
      </c>
      <c r="E273" s="57" t="str">
        <f>IF(K273="","",VLOOKUP(F273,Tabelle1!$A$2:$M$496,13,0))</f>
        <v/>
      </c>
      <c r="F273" s="56"/>
      <c r="G273" s="57"/>
      <c r="H273" s="57"/>
      <c r="I273" s="57"/>
      <c r="J273" s="57"/>
      <c r="K273" s="57" t="str">
        <f t="shared" si="18"/>
        <v/>
      </c>
      <c r="L273" s="57" t="str">
        <f>IF(K273="","",VLOOKUP(F273,Tabelle1!$A$2:$I$496,9,0))</f>
        <v/>
      </c>
      <c r="M273" s="57" t="str">
        <f>IF(K273="","",VLOOKUP(F273,Tabelle1!$A$2:$G$496,7,0))</f>
        <v/>
      </c>
      <c r="N273" s="66" t="str">
        <f t="shared" si="19"/>
        <v/>
      </c>
      <c r="O273" s="66" t="str">
        <f>IF(K273="","",((K273*VLOOKUP(F273,Tabelle1!$A$2:$I$496,8,0))/$W$4))</f>
        <v/>
      </c>
      <c r="P273" s="76" t="str">
        <f>IF(K273="","",VLOOKUP(F273,Tabelle1!$A$2:$L$496,12,0))</f>
        <v/>
      </c>
    </row>
    <row r="274" spans="1:16">
      <c r="A274" s="67"/>
      <c r="B274" s="55"/>
      <c r="C274" s="55"/>
      <c r="D274" s="57" t="str">
        <f>IF(K274="","",VLOOKUP(F274,Tabelle1!$A$2:$C$496,3,0))</f>
        <v/>
      </c>
      <c r="E274" s="57" t="str">
        <f>IF(K274="","",VLOOKUP(F274,Tabelle1!$A$2:$M$496,13,0))</f>
        <v/>
      </c>
      <c r="F274" s="56"/>
      <c r="G274" s="57"/>
      <c r="H274" s="57"/>
      <c r="I274" s="57"/>
      <c r="J274" s="57"/>
      <c r="K274" s="57" t="str">
        <f t="shared" si="18"/>
        <v/>
      </c>
      <c r="L274" s="57" t="str">
        <f>IF(K274="","",VLOOKUP(F274,Tabelle1!$A$2:$I$496,9,0))</f>
        <v/>
      </c>
      <c r="M274" s="57" t="str">
        <f>IF(K274="","",VLOOKUP(F274,Tabelle1!$A$2:$G$496,7,0))</f>
        <v/>
      </c>
      <c r="N274" s="66" t="str">
        <f t="shared" si="19"/>
        <v/>
      </c>
      <c r="O274" s="66" t="str">
        <f>IF(K274="","",((K274*VLOOKUP(F274,Tabelle1!$A$2:$I$496,8,0))/$W$4))</f>
        <v/>
      </c>
      <c r="P274" s="76" t="str">
        <f>IF(K274="","",VLOOKUP(F274,Tabelle1!$A$2:$L$496,12,0))</f>
        <v/>
      </c>
    </row>
    <row r="275" spans="1:16">
      <c r="A275" s="67"/>
      <c r="B275" s="55"/>
      <c r="C275" s="55"/>
      <c r="D275" s="57" t="str">
        <f>IF(K275="","",VLOOKUP(F275,Tabelle1!$A$2:$C$496,3,0))</f>
        <v/>
      </c>
      <c r="E275" s="57" t="str">
        <f>IF(K275="","",VLOOKUP(F275,Tabelle1!$A$2:$M$496,13,0))</f>
        <v/>
      </c>
      <c r="F275" s="56"/>
      <c r="G275" s="57"/>
      <c r="H275" s="57"/>
      <c r="I275" s="57"/>
      <c r="J275" s="57"/>
      <c r="K275" s="57" t="str">
        <f t="shared" si="18"/>
        <v/>
      </c>
      <c r="L275" s="57" t="str">
        <f>IF(K275="","",VLOOKUP(F275,Tabelle1!$A$2:$I$496,9,0))</f>
        <v/>
      </c>
      <c r="M275" s="57" t="str">
        <f>IF(K275="","",VLOOKUP(F275,Tabelle1!$A$2:$G$496,7,0))</f>
        <v/>
      </c>
      <c r="N275" s="66" t="str">
        <f t="shared" si="19"/>
        <v/>
      </c>
      <c r="O275" s="66" t="str">
        <f>IF(K275="","",((K275*VLOOKUP(F275,Tabelle1!$A$2:$I$496,8,0))/$W$4))</f>
        <v/>
      </c>
      <c r="P275" s="76" t="str">
        <f>IF(K275="","",VLOOKUP(F275,Tabelle1!$A$2:$L$496,12,0))</f>
        <v/>
      </c>
    </row>
    <row r="276" spans="1:16">
      <c r="A276" s="67"/>
      <c r="B276" s="55"/>
      <c r="C276" s="55"/>
      <c r="D276" s="57" t="str">
        <f>IF(K276="","",VLOOKUP(F276,Tabelle1!$A$2:$C$496,3,0))</f>
        <v/>
      </c>
      <c r="E276" s="57" t="str">
        <f>IF(K276="","",VLOOKUP(F276,Tabelle1!$A$2:$M$496,13,0))</f>
        <v/>
      </c>
      <c r="F276" s="56"/>
      <c r="G276" s="57"/>
      <c r="H276" s="57"/>
      <c r="I276" s="57"/>
      <c r="J276" s="57"/>
      <c r="K276" s="57" t="str">
        <f t="shared" si="18"/>
        <v/>
      </c>
      <c r="L276" s="57" t="str">
        <f>IF(K276="","",VLOOKUP(F276,Tabelle1!$A$2:$I$496,9,0))</f>
        <v/>
      </c>
      <c r="M276" s="57" t="str">
        <f>IF(K276="","",VLOOKUP(F276,Tabelle1!$A$2:$G$496,7,0))</f>
        <v/>
      </c>
      <c r="N276" s="66" t="str">
        <f t="shared" si="19"/>
        <v/>
      </c>
      <c r="O276" s="66" t="str">
        <f>IF(K276="","",((K276*VLOOKUP(F276,Tabelle1!$A$2:$I$496,8,0))/$W$4))</f>
        <v/>
      </c>
      <c r="P276" s="76" t="str">
        <f>IF(K276="","",VLOOKUP(F276,Tabelle1!$A$2:$L$496,12,0))</f>
        <v/>
      </c>
    </row>
    <row r="277" spans="1:16">
      <c r="A277" s="67"/>
      <c r="B277" s="55"/>
      <c r="C277" s="55"/>
      <c r="D277" s="57" t="str">
        <f>IF(K277="","",VLOOKUP(F277,Tabelle1!$A$2:$C$496,3,0))</f>
        <v/>
      </c>
      <c r="E277" s="57" t="str">
        <f>IF(K277="","",VLOOKUP(F277,Tabelle1!$A$2:$M$496,13,0))</f>
        <v/>
      </c>
      <c r="F277" s="56"/>
      <c r="G277" s="57"/>
      <c r="H277" s="57"/>
      <c r="I277" s="57"/>
      <c r="J277" s="57"/>
      <c r="K277" s="57" t="str">
        <f t="shared" si="18"/>
        <v/>
      </c>
      <c r="L277" s="57" t="str">
        <f>IF(K277="","",VLOOKUP(F277,Tabelle1!$A$2:$I$496,9,0))</f>
        <v/>
      </c>
      <c r="M277" s="57" t="str">
        <f>IF(K277="","",VLOOKUP(F277,Tabelle1!$A$2:$G$496,7,0))</f>
        <v/>
      </c>
      <c r="N277" s="66" t="str">
        <f t="shared" si="19"/>
        <v/>
      </c>
      <c r="O277" s="66" t="str">
        <f>IF(K277="","",((K277*VLOOKUP(F277,Tabelle1!$A$2:$I$496,8,0))/$W$4))</f>
        <v/>
      </c>
      <c r="P277" s="76" t="str">
        <f>IF(K277="","",VLOOKUP(F277,Tabelle1!$A$2:$L$496,12,0))</f>
        <v/>
      </c>
    </row>
    <row r="278" spans="1:16">
      <c r="A278" s="67"/>
      <c r="B278" s="55"/>
      <c r="C278" s="55"/>
      <c r="D278" s="57" t="str">
        <f>IF(K278="","",VLOOKUP(F278,Tabelle1!$A$2:$C$496,3,0))</f>
        <v/>
      </c>
      <c r="E278" s="57" t="str">
        <f>IF(K278="","",VLOOKUP(F278,Tabelle1!$A$2:$M$496,13,0))</f>
        <v/>
      </c>
      <c r="F278" s="56"/>
      <c r="G278" s="57"/>
      <c r="H278" s="57"/>
      <c r="I278" s="57"/>
      <c r="J278" s="57"/>
      <c r="K278" s="57" t="str">
        <f t="shared" si="18"/>
        <v/>
      </c>
      <c r="L278" s="57" t="str">
        <f>IF(K278="","",VLOOKUP(F278,Tabelle1!$A$2:$I$496,9,0))</f>
        <v/>
      </c>
      <c r="M278" s="57" t="str">
        <f>IF(K278="","",VLOOKUP(F278,Tabelle1!$A$2:$G$496,7,0))</f>
        <v/>
      </c>
      <c r="N278" s="66" t="str">
        <f t="shared" si="19"/>
        <v/>
      </c>
      <c r="O278" s="66" t="str">
        <f>IF(K278="","",((K278*VLOOKUP(F278,Tabelle1!$A$2:$I$496,8,0))/$W$4))</f>
        <v/>
      </c>
      <c r="P278" s="76" t="str">
        <f>IF(K278="","",VLOOKUP(F278,Tabelle1!$A$2:$L$496,12,0))</f>
        <v/>
      </c>
    </row>
    <row r="279" spans="1:16">
      <c r="A279" s="67"/>
      <c r="B279" s="55"/>
      <c r="C279" s="55"/>
      <c r="D279" s="57" t="str">
        <f>IF(K279="","",VLOOKUP(F279,Tabelle1!$A$2:$C$496,3,0))</f>
        <v/>
      </c>
      <c r="E279" s="57" t="str">
        <f>IF(K279="","",VLOOKUP(F279,Tabelle1!$A$2:$M$496,13,0))</f>
        <v/>
      </c>
      <c r="F279" s="56"/>
      <c r="G279" s="57"/>
      <c r="H279" s="57"/>
      <c r="I279" s="57"/>
      <c r="J279" s="57"/>
      <c r="K279" s="57" t="str">
        <f t="shared" si="18"/>
        <v/>
      </c>
      <c r="L279" s="57" t="str">
        <f>IF(K279="","",VLOOKUP(F279,Tabelle1!$A$2:$I$496,9,0))</f>
        <v/>
      </c>
      <c r="M279" s="57" t="str">
        <f>IF(K279="","",VLOOKUP(F279,Tabelle1!$A$2:$G$496,7,0))</f>
        <v/>
      </c>
      <c r="N279" s="66" t="str">
        <f t="shared" si="19"/>
        <v/>
      </c>
      <c r="O279" s="66" t="str">
        <f>IF(K279="","",((K279*VLOOKUP(F279,Tabelle1!$A$2:$I$496,8,0))/$W$4))</f>
        <v/>
      </c>
      <c r="P279" s="76" t="str">
        <f>IF(K279="","",VLOOKUP(F279,Tabelle1!$A$2:$L$496,12,0))</f>
        <v/>
      </c>
    </row>
    <row r="280" spans="1:16">
      <c r="A280" s="67"/>
      <c r="B280" s="55"/>
      <c r="C280" s="55"/>
      <c r="D280" s="57" t="str">
        <f>IF(K280="","",VLOOKUP(F280,Tabelle1!$A$2:$C$496,3,0))</f>
        <v/>
      </c>
      <c r="E280" s="57" t="str">
        <f>IF(K280="","",VLOOKUP(F280,Tabelle1!$A$2:$M$496,13,0))</f>
        <v/>
      </c>
      <c r="F280" s="56"/>
      <c r="G280" s="57"/>
      <c r="H280" s="57"/>
      <c r="I280" s="57"/>
      <c r="J280" s="57"/>
      <c r="K280" s="57" t="str">
        <f t="shared" si="18"/>
        <v/>
      </c>
      <c r="L280" s="57" t="str">
        <f>IF(K280="","",VLOOKUP(F280,Tabelle1!$A$2:$I$496,9,0))</f>
        <v/>
      </c>
      <c r="M280" s="57" t="str">
        <f>IF(K280="","",VLOOKUP(F280,Tabelle1!$A$2:$G$496,7,0))</f>
        <v/>
      </c>
      <c r="N280" s="66" t="str">
        <f t="shared" si="19"/>
        <v/>
      </c>
      <c r="O280" s="66" t="str">
        <f>IF(K280="","",((K280*VLOOKUP(F280,Tabelle1!$A$2:$I$496,8,0))/$W$4))</f>
        <v/>
      </c>
      <c r="P280" s="76" t="str">
        <f>IF(K280="","",VLOOKUP(F280,Tabelle1!$A$2:$L$496,12,0))</f>
        <v/>
      </c>
    </row>
    <row r="281" spans="1:16">
      <c r="A281" s="67"/>
      <c r="B281" s="55"/>
      <c r="C281" s="55"/>
      <c r="D281" s="57" t="str">
        <f>IF(K281="","",VLOOKUP(F281,Tabelle1!$A$2:$C$496,3,0))</f>
        <v/>
      </c>
      <c r="E281" s="57" t="str">
        <f>IF(K281="","",VLOOKUP(F281,Tabelle1!$A$2:$M$496,13,0))</f>
        <v/>
      </c>
      <c r="F281" s="56"/>
      <c r="G281" s="57"/>
      <c r="H281" s="57"/>
      <c r="I281" s="57"/>
      <c r="J281" s="57"/>
      <c r="K281" s="57" t="str">
        <f t="shared" si="18"/>
        <v/>
      </c>
      <c r="L281" s="57" t="str">
        <f>IF(K281="","",VLOOKUP(F281,Tabelle1!$A$2:$I$496,9,0))</f>
        <v/>
      </c>
      <c r="M281" s="57" t="str">
        <f>IF(K281="","",VLOOKUP(F281,Tabelle1!$A$2:$G$496,7,0))</f>
        <v/>
      </c>
      <c r="N281" s="66" t="str">
        <f t="shared" si="19"/>
        <v/>
      </c>
      <c r="O281" s="66" t="str">
        <f>IF(K281="","",((K281*VLOOKUP(F281,Tabelle1!$A$2:$I$496,8,0))/$W$4))</f>
        <v/>
      </c>
      <c r="P281" s="76" t="str">
        <f>IF(K281="","",VLOOKUP(F281,Tabelle1!$A$2:$L$496,12,0))</f>
        <v/>
      </c>
    </row>
    <row r="282" spans="1:16">
      <c r="A282" s="67"/>
      <c r="B282" s="55"/>
      <c r="C282" s="55"/>
      <c r="D282" s="57" t="str">
        <f>IF(K282="","",VLOOKUP(F282,Tabelle1!$A$2:$C$496,3,0))</f>
        <v/>
      </c>
      <c r="E282" s="57" t="str">
        <f>IF(K282="","",VLOOKUP(F282,Tabelle1!$A$2:$M$496,13,0))</f>
        <v/>
      </c>
      <c r="F282" s="56"/>
      <c r="G282" s="57"/>
      <c r="H282" s="57"/>
      <c r="I282" s="57"/>
      <c r="J282" s="57"/>
      <c r="K282" s="57" t="str">
        <f t="shared" si="18"/>
        <v/>
      </c>
      <c r="L282" s="57" t="str">
        <f>IF(K282="","",VLOOKUP(F282,Tabelle1!$A$2:$I$496,9,0))</f>
        <v/>
      </c>
      <c r="M282" s="57" t="str">
        <f>IF(K282="","",VLOOKUP(F282,Tabelle1!$A$2:$G$496,7,0))</f>
        <v/>
      </c>
      <c r="N282" s="66" t="str">
        <f t="shared" si="19"/>
        <v/>
      </c>
      <c r="O282" s="66" t="str">
        <f>IF(K282="","",((K282*VLOOKUP(F282,Tabelle1!$A$2:$I$496,8,0))/$W$4))</f>
        <v/>
      </c>
      <c r="P282" s="76" t="str">
        <f>IF(K282="","",VLOOKUP(F282,Tabelle1!$A$2:$L$496,12,0))</f>
        <v/>
      </c>
    </row>
    <row r="283" spans="1:16">
      <c r="A283" s="67"/>
      <c r="B283" s="55"/>
      <c r="C283" s="55"/>
      <c r="D283" s="57" t="str">
        <f>IF(K283="","",VLOOKUP(F283,Tabelle1!$A$2:$C$496,3,0))</f>
        <v/>
      </c>
      <c r="E283" s="57" t="str">
        <f>IF(K283="","",VLOOKUP(F283,Tabelle1!$A$2:$M$496,13,0))</f>
        <v/>
      </c>
      <c r="F283" s="56"/>
      <c r="G283" s="57"/>
      <c r="H283" s="57"/>
      <c r="I283" s="57"/>
      <c r="J283" s="57"/>
      <c r="K283" s="57" t="str">
        <f t="shared" si="18"/>
        <v/>
      </c>
      <c r="L283" s="57" t="str">
        <f>IF(K283="","",VLOOKUP(F283,Tabelle1!$A$2:$I$496,9,0))</f>
        <v/>
      </c>
      <c r="M283" s="57" t="str">
        <f>IF(K283="","",VLOOKUP(F283,Tabelle1!$A$2:$G$496,7,0))</f>
        <v/>
      </c>
      <c r="N283" s="66" t="str">
        <f t="shared" si="19"/>
        <v/>
      </c>
      <c r="O283" s="66" t="str">
        <f>IF(K283="","",((K283*VLOOKUP(F283,Tabelle1!$A$2:$I$496,8,0))/$W$4))</f>
        <v/>
      </c>
      <c r="P283" s="76" t="str">
        <f>IF(K283="","",VLOOKUP(F283,Tabelle1!$A$2:$L$496,12,0))</f>
        <v/>
      </c>
    </row>
    <row r="284" spans="1:16">
      <c r="A284" s="67"/>
      <c r="B284" s="55"/>
      <c r="C284" s="55"/>
      <c r="D284" s="57" t="str">
        <f>IF(K284="","",VLOOKUP(F284,Tabelle1!$A$2:$C$496,3,0))</f>
        <v/>
      </c>
      <c r="E284" s="57" t="str">
        <f>IF(K284="","",VLOOKUP(F284,Tabelle1!$A$2:$M$496,13,0))</f>
        <v/>
      </c>
      <c r="F284" s="56"/>
      <c r="G284" s="57"/>
      <c r="H284" s="57"/>
      <c r="I284" s="57"/>
      <c r="J284" s="57"/>
      <c r="K284" s="57" t="str">
        <f t="shared" si="18"/>
        <v/>
      </c>
      <c r="L284" s="57" t="str">
        <f>IF(K284="","",VLOOKUP(F284,Tabelle1!$A$2:$I$496,9,0))</f>
        <v/>
      </c>
      <c r="M284" s="57" t="str">
        <f>IF(K284="","",VLOOKUP(F284,Tabelle1!$A$2:$G$496,7,0))</f>
        <v/>
      </c>
      <c r="N284" s="66" t="str">
        <f t="shared" si="19"/>
        <v/>
      </c>
      <c r="O284" s="66" t="str">
        <f>IF(K284="","",((K284*VLOOKUP(F284,Tabelle1!$A$2:$I$496,8,0))/$W$4))</f>
        <v/>
      </c>
      <c r="P284" s="76" t="str">
        <f>IF(K284="","",VLOOKUP(F284,Tabelle1!$A$2:$L$496,12,0))</f>
        <v/>
      </c>
    </row>
    <row r="285" spans="1:16">
      <c r="A285" s="67"/>
      <c r="B285" s="55"/>
      <c r="C285" s="55"/>
      <c r="D285" s="57" t="str">
        <f>IF(K285="","",VLOOKUP(F285,Tabelle1!$A$2:$C$496,3,0))</f>
        <v/>
      </c>
      <c r="E285" s="57" t="str">
        <f>IF(K285="","",VLOOKUP(F285,Tabelle1!$A$2:$M$496,13,0))</f>
        <v/>
      </c>
      <c r="F285" s="56"/>
      <c r="G285" s="57"/>
      <c r="H285" s="57"/>
      <c r="I285" s="57"/>
      <c r="J285" s="57"/>
      <c r="K285" s="57" t="str">
        <f t="shared" si="18"/>
        <v/>
      </c>
      <c r="L285" s="57" t="str">
        <f>IF(K285="","",VLOOKUP(F285,Tabelle1!$A$2:$I$496,9,0))</f>
        <v/>
      </c>
      <c r="M285" s="57" t="str">
        <f>IF(K285="","",VLOOKUP(F285,Tabelle1!$A$2:$G$496,7,0))</f>
        <v/>
      </c>
      <c r="N285" s="66" t="str">
        <f t="shared" si="19"/>
        <v/>
      </c>
      <c r="O285" s="66" t="str">
        <f>IF(K285="","",((K285*VLOOKUP(F285,Tabelle1!$A$2:$I$496,8,0))/$W$4))</f>
        <v/>
      </c>
      <c r="P285" s="76" t="str">
        <f>IF(K285="","",VLOOKUP(F285,Tabelle1!$A$2:$L$496,12,0))</f>
        <v/>
      </c>
    </row>
    <row r="286" spans="1:16">
      <c r="A286" s="67"/>
      <c r="B286" s="55"/>
      <c r="C286" s="55"/>
      <c r="D286" s="57" t="str">
        <f>IF(K286="","",VLOOKUP(F286,Tabelle1!$A$2:$C$496,3,0))</f>
        <v/>
      </c>
      <c r="E286" s="57" t="str">
        <f>IF(K286="","",VLOOKUP(F286,Tabelle1!$A$2:$M$496,13,0))</f>
        <v/>
      </c>
      <c r="F286" s="56"/>
      <c r="G286" s="57"/>
      <c r="H286" s="57"/>
      <c r="I286" s="57"/>
      <c r="J286" s="57"/>
      <c r="K286" s="57" t="str">
        <f t="shared" si="18"/>
        <v/>
      </c>
      <c r="L286" s="57" t="str">
        <f>IF(K286="","",VLOOKUP(F286,Tabelle1!$A$2:$I$496,9,0))</f>
        <v/>
      </c>
      <c r="M286" s="57" t="str">
        <f>IF(K286="","",VLOOKUP(F286,Tabelle1!$A$2:$G$496,7,0))</f>
        <v/>
      </c>
      <c r="N286" s="66" t="str">
        <f t="shared" si="19"/>
        <v/>
      </c>
      <c r="O286" s="66" t="str">
        <f>IF(K286="","",((K286*VLOOKUP(F286,Tabelle1!$A$2:$I$496,8,0))/$W$4))</f>
        <v/>
      </c>
      <c r="P286" s="76" t="str">
        <f>IF(K286="","",VLOOKUP(F286,Tabelle1!$A$2:$L$496,12,0))</f>
        <v/>
      </c>
    </row>
    <row r="287" spans="1:16">
      <c r="A287" s="67"/>
      <c r="B287" s="55"/>
      <c r="C287" s="55"/>
      <c r="D287" s="57" t="str">
        <f>IF(K287="","",VLOOKUP(F287,Tabelle1!$A$2:$C$496,3,0))</f>
        <v/>
      </c>
      <c r="E287" s="57" t="str">
        <f>IF(K287="","",VLOOKUP(F287,Tabelle1!$A$2:$M$496,13,0))</f>
        <v/>
      </c>
      <c r="F287" s="56"/>
      <c r="G287" s="57"/>
      <c r="H287" s="57"/>
      <c r="I287" s="57"/>
      <c r="J287" s="57"/>
      <c r="K287" s="57" t="str">
        <f t="shared" si="18"/>
        <v/>
      </c>
      <c r="L287" s="57" t="str">
        <f>IF(K287="","",VLOOKUP(F287,Tabelle1!$A$2:$I$496,9,0))</f>
        <v/>
      </c>
      <c r="M287" s="57" t="str">
        <f>IF(K287="","",VLOOKUP(F287,Tabelle1!$A$2:$G$496,7,0))</f>
        <v/>
      </c>
      <c r="N287" s="66" t="str">
        <f t="shared" si="19"/>
        <v/>
      </c>
      <c r="O287" s="66" t="str">
        <f>IF(K287="","",((K287*VLOOKUP(F287,Tabelle1!$A$2:$I$496,8,0))/$W$4))</f>
        <v/>
      </c>
      <c r="P287" s="76" t="str">
        <f>IF(K287="","",VLOOKUP(F287,Tabelle1!$A$2:$L$496,12,0))</f>
        <v/>
      </c>
    </row>
    <row r="288" spans="1:16">
      <c r="A288" s="67"/>
      <c r="B288" s="55"/>
      <c r="C288" s="55"/>
      <c r="D288" s="57" t="str">
        <f>IF(K288="","",VLOOKUP(F288,Tabelle1!$A$2:$C$496,3,0))</f>
        <v/>
      </c>
      <c r="E288" s="57" t="str">
        <f>IF(K288="","",VLOOKUP(F288,Tabelle1!$A$2:$M$496,13,0))</f>
        <v/>
      </c>
      <c r="F288" s="56"/>
      <c r="G288" s="57"/>
      <c r="H288" s="57"/>
      <c r="I288" s="57"/>
      <c r="J288" s="57"/>
      <c r="K288" s="57" t="str">
        <f t="shared" si="18"/>
        <v/>
      </c>
      <c r="L288" s="57" t="str">
        <f>IF(K288="","",VLOOKUP(F288,Tabelle1!$A$2:$I$496,9,0))</f>
        <v/>
      </c>
      <c r="M288" s="57" t="str">
        <f>IF(K288="","",VLOOKUP(F288,Tabelle1!$A$2:$G$496,7,0))</f>
        <v/>
      </c>
      <c r="N288" s="66" t="str">
        <f t="shared" si="19"/>
        <v/>
      </c>
      <c r="O288" s="66" t="str">
        <f>IF(K288="","",((K288*VLOOKUP(F288,Tabelle1!$A$2:$I$496,8,0))/$W$4))</f>
        <v/>
      </c>
      <c r="P288" s="76" t="str">
        <f>IF(K288="","",VLOOKUP(F288,Tabelle1!$A$2:$L$496,12,0))</f>
        <v/>
      </c>
    </row>
    <row r="289" spans="1:16">
      <c r="A289" s="67"/>
      <c r="B289" s="55"/>
      <c r="C289" s="55"/>
      <c r="D289" s="57" t="str">
        <f>IF(K289="","",VLOOKUP(F289,Tabelle1!$A$2:$C$496,3,0))</f>
        <v/>
      </c>
      <c r="E289" s="57" t="str">
        <f>IF(K289="","",VLOOKUP(F289,Tabelle1!$A$2:$M$496,13,0))</f>
        <v/>
      </c>
      <c r="F289" s="56"/>
      <c r="G289" s="57"/>
      <c r="H289" s="57"/>
      <c r="I289" s="57"/>
      <c r="J289" s="57"/>
      <c r="K289" s="57" t="str">
        <f t="shared" si="18"/>
        <v/>
      </c>
      <c r="L289" s="57" t="str">
        <f>IF(K289="","",VLOOKUP(F289,Tabelle1!$A$2:$I$496,9,0))</f>
        <v/>
      </c>
      <c r="M289" s="57" t="str">
        <f>IF(K289="","",VLOOKUP(F289,Tabelle1!$A$2:$G$496,7,0))</f>
        <v/>
      </c>
      <c r="N289" s="66" t="str">
        <f t="shared" si="19"/>
        <v/>
      </c>
      <c r="O289" s="66" t="str">
        <f>IF(K289="","",((K289*VLOOKUP(F289,Tabelle1!$A$2:$I$496,8,0))/$W$4))</f>
        <v/>
      </c>
      <c r="P289" s="76" t="str">
        <f>IF(K289="","",VLOOKUP(F289,Tabelle1!$A$2:$L$496,12,0))</f>
        <v/>
      </c>
    </row>
    <row r="290" spans="1:16">
      <c r="A290" s="67"/>
      <c r="B290" s="55"/>
      <c r="C290" s="55"/>
      <c r="D290" s="57" t="str">
        <f>IF(K290="","",VLOOKUP(F290,Tabelle1!$A$2:$C$496,3,0))</f>
        <v/>
      </c>
      <c r="E290" s="57" t="str">
        <f>IF(K290="","",VLOOKUP(F290,Tabelle1!$A$2:$M$496,13,0))</f>
        <v/>
      </c>
      <c r="F290" s="56"/>
      <c r="G290" s="57"/>
      <c r="H290" s="57"/>
      <c r="I290" s="57"/>
      <c r="J290" s="57"/>
      <c r="K290" s="57" t="str">
        <f t="shared" si="18"/>
        <v/>
      </c>
      <c r="L290" s="57" t="str">
        <f>IF(K290="","",VLOOKUP(F290,Tabelle1!$A$2:$I$496,9,0))</f>
        <v/>
      </c>
      <c r="M290" s="57" t="str">
        <f>IF(K290="","",VLOOKUP(F290,Tabelle1!$A$2:$G$496,7,0))</f>
        <v/>
      </c>
      <c r="N290" s="66" t="str">
        <f t="shared" si="19"/>
        <v/>
      </c>
      <c r="O290" s="66" t="str">
        <f>IF(K290="","",((K290*VLOOKUP(F290,Tabelle1!$A$2:$I$496,8,0))/$W$4))</f>
        <v/>
      </c>
      <c r="P290" s="76" t="str">
        <f>IF(K290="","",VLOOKUP(F290,Tabelle1!$A$2:$L$496,12,0))</f>
        <v/>
      </c>
    </row>
    <row r="291" spans="1:16">
      <c r="A291" s="67"/>
      <c r="B291" s="55"/>
      <c r="C291" s="55"/>
      <c r="D291" s="57" t="str">
        <f>IF(K291="","",VLOOKUP(F291,Tabelle1!$A$2:$C$496,3,0))</f>
        <v/>
      </c>
      <c r="E291" s="57" t="str">
        <f>IF(K291="","",VLOOKUP(F291,Tabelle1!$A$2:$M$496,13,0))</f>
        <v/>
      </c>
      <c r="F291" s="56"/>
      <c r="G291" s="57"/>
      <c r="H291" s="57"/>
      <c r="I291" s="57"/>
      <c r="J291" s="57"/>
      <c r="K291" s="57" t="str">
        <f t="shared" si="18"/>
        <v/>
      </c>
      <c r="L291" s="57" t="str">
        <f>IF(K291="","",VLOOKUP(F291,Tabelle1!$A$2:$I$496,9,0))</f>
        <v/>
      </c>
      <c r="M291" s="57" t="str">
        <f>IF(K291="","",VLOOKUP(F291,Tabelle1!$A$2:$G$496,7,0))</f>
        <v/>
      </c>
      <c r="N291" s="66" t="str">
        <f t="shared" si="19"/>
        <v/>
      </c>
      <c r="O291" s="66" t="str">
        <f>IF(K291="","",((K291*VLOOKUP(F291,Tabelle1!$A$2:$I$496,8,0))/$W$4))</f>
        <v/>
      </c>
      <c r="P291" s="76" t="str">
        <f>IF(K291="","",VLOOKUP(F291,Tabelle1!$A$2:$L$496,12,0))</f>
        <v/>
      </c>
    </row>
    <row r="292" spans="1:16">
      <c r="A292" s="67"/>
      <c r="B292" s="55"/>
      <c r="C292" s="55"/>
      <c r="D292" s="57" t="str">
        <f>IF(K292="","",VLOOKUP(F292,Tabelle1!$A$2:$C$496,3,0))</f>
        <v/>
      </c>
      <c r="E292" s="57" t="str">
        <f>IF(K292="","",VLOOKUP(F292,Tabelle1!$A$2:$M$496,13,0))</f>
        <v/>
      </c>
      <c r="F292" s="56"/>
      <c r="G292" s="57"/>
      <c r="H292" s="57"/>
      <c r="I292" s="57"/>
      <c r="J292" s="57"/>
      <c r="K292" s="57" t="str">
        <f t="shared" si="18"/>
        <v/>
      </c>
      <c r="L292" s="57" t="str">
        <f>IF(K292="","",VLOOKUP(F292,Tabelle1!$A$2:$I$496,9,0))</f>
        <v/>
      </c>
      <c r="M292" s="57" t="str">
        <f>IF(K292="","",VLOOKUP(F292,Tabelle1!$A$2:$G$496,7,0))</f>
        <v/>
      </c>
      <c r="N292" s="66" t="str">
        <f t="shared" si="19"/>
        <v/>
      </c>
      <c r="O292" s="66" t="str">
        <f>IF(K292="","",((K292*VLOOKUP(F292,Tabelle1!$A$2:$I$496,8,0))/$W$4))</f>
        <v/>
      </c>
      <c r="P292" s="76" t="str">
        <f>IF(K292="","",VLOOKUP(F292,Tabelle1!$A$2:$L$496,12,0))</f>
        <v/>
      </c>
    </row>
    <row r="293" spans="1:16">
      <c r="A293" s="67"/>
      <c r="B293" s="55"/>
      <c r="C293" s="55"/>
      <c r="D293" s="57" t="str">
        <f>IF(K293="","",VLOOKUP(F293,Tabelle1!$A$2:$C$496,3,0))</f>
        <v/>
      </c>
      <c r="E293" s="57" t="str">
        <f>IF(K293="","",VLOOKUP(F293,Tabelle1!$A$2:$M$496,13,0))</f>
        <v/>
      </c>
      <c r="F293" s="56"/>
      <c r="G293" s="57"/>
      <c r="H293" s="57"/>
      <c r="I293" s="57"/>
      <c r="J293" s="57"/>
      <c r="K293" s="57" t="str">
        <f t="shared" si="18"/>
        <v/>
      </c>
      <c r="L293" s="57" t="str">
        <f>IF(K293="","",VLOOKUP(F293,Tabelle1!$A$2:$I$496,9,0))</f>
        <v/>
      </c>
      <c r="M293" s="57" t="str">
        <f>IF(K293="","",VLOOKUP(F293,Tabelle1!$A$2:$G$496,7,0))</f>
        <v/>
      </c>
      <c r="N293" s="66" t="str">
        <f t="shared" si="19"/>
        <v/>
      </c>
      <c r="O293" s="66" t="str">
        <f>IF(K293="","",((K293*VLOOKUP(F293,Tabelle1!$A$2:$I$496,8,0))/$W$4))</f>
        <v/>
      </c>
      <c r="P293" s="76" t="str">
        <f>IF(K293="","",VLOOKUP(F293,Tabelle1!$A$2:$L$496,12,0))</f>
        <v/>
      </c>
    </row>
    <row r="294" spans="1:16">
      <c r="A294" s="67"/>
      <c r="B294" s="55"/>
      <c r="C294" s="55"/>
      <c r="D294" s="57" t="str">
        <f>IF(K294="","",VLOOKUP(F294,Tabelle1!$A$2:$C$496,3,0))</f>
        <v/>
      </c>
      <c r="E294" s="57" t="str">
        <f>IF(K294="","",VLOOKUP(F294,Tabelle1!$A$2:$M$496,13,0))</f>
        <v/>
      </c>
      <c r="F294" s="56"/>
      <c r="G294" s="57"/>
      <c r="H294" s="57"/>
      <c r="I294" s="57"/>
      <c r="J294" s="57"/>
      <c r="K294" s="57" t="str">
        <f t="shared" si="18"/>
        <v/>
      </c>
      <c r="L294" s="57" t="str">
        <f>IF(K294="","",VLOOKUP(F294,Tabelle1!$A$2:$I$496,9,0))</f>
        <v/>
      </c>
      <c r="M294" s="57" t="str">
        <f>IF(K294="","",VLOOKUP(F294,Tabelle1!$A$2:$G$496,7,0))</f>
        <v/>
      </c>
      <c r="N294" s="66" t="str">
        <f t="shared" si="19"/>
        <v/>
      </c>
      <c r="O294" s="66" t="str">
        <f>IF(K294="","",((K294*VLOOKUP(F294,Tabelle1!$A$2:$I$496,8,0))/$W$4))</f>
        <v/>
      </c>
      <c r="P294" s="76" t="str">
        <f>IF(K294="","",VLOOKUP(F294,Tabelle1!$A$2:$L$496,12,0))</f>
        <v/>
      </c>
    </row>
    <row r="295" spans="1:16">
      <c r="A295" s="67"/>
      <c r="B295" s="55"/>
      <c r="C295" s="55"/>
      <c r="D295" s="57" t="str">
        <f>IF(K295="","",VLOOKUP(F295,Tabelle1!$A$2:$C$496,3,0))</f>
        <v/>
      </c>
      <c r="E295" s="57" t="str">
        <f>IF(K295="","",VLOOKUP(F295,Tabelle1!$A$2:$M$496,13,0))</f>
        <v/>
      </c>
      <c r="F295" s="56"/>
      <c r="G295" s="57"/>
      <c r="H295" s="57"/>
      <c r="I295" s="57"/>
      <c r="J295" s="57"/>
      <c r="K295" s="57" t="str">
        <f t="shared" si="18"/>
        <v/>
      </c>
      <c r="L295" s="57" t="str">
        <f>IF(K295="","",VLOOKUP(F295,Tabelle1!$A$2:$I$496,9,0))</f>
        <v/>
      </c>
      <c r="M295" s="57" t="str">
        <f>IF(K295="","",VLOOKUP(F295,Tabelle1!$A$2:$G$496,7,0))</f>
        <v/>
      </c>
      <c r="N295" s="66" t="str">
        <f t="shared" si="19"/>
        <v/>
      </c>
      <c r="O295" s="66" t="str">
        <f>IF(K295="","",((K295*VLOOKUP(F295,Tabelle1!$A$2:$I$496,8,0))/$W$4))</f>
        <v/>
      </c>
      <c r="P295" s="76" t="str">
        <f>IF(K295="","",VLOOKUP(F295,Tabelle1!$A$2:$L$496,12,0))</f>
        <v/>
      </c>
    </row>
    <row r="296" spans="1:16">
      <c r="A296" s="67"/>
      <c r="B296" s="55"/>
      <c r="C296" s="55"/>
      <c r="D296" s="57" t="str">
        <f>IF(K296="","",VLOOKUP(F296,Tabelle1!$A$2:$C$496,3,0))</f>
        <v/>
      </c>
      <c r="E296" s="57" t="str">
        <f>IF(K296="","",VLOOKUP(F296,Tabelle1!$A$2:$M$496,13,0))</f>
        <v/>
      </c>
      <c r="F296" s="56"/>
      <c r="G296" s="57"/>
      <c r="H296" s="57"/>
      <c r="I296" s="57"/>
      <c r="J296" s="57"/>
      <c r="K296" s="57" t="str">
        <f t="shared" si="18"/>
        <v/>
      </c>
      <c r="L296" s="57" t="str">
        <f>IF(K296="","",VLOOKUP(F296,Tabelle1!$A$2:$I$496,9,0))</f>
        <v/>
      </c>
      <c r="M296" s="57" t="str">
        <f>IF(K296="","",VLOOKUP(F296,Tabelle1!$A$2:$G$496,7,0))</f>
        <v/>
      </c>
      <c r="N296" s="66" t="str">
        <f t="shared" si="19"/>
        <v/>
      </c>
      <c r="O296" s="66" t="str">
        <f>IF(K296="","",((K296*VLOOKUP(F296,Tabelle1!$A$2:$I$496,8,0))/$W$4))</f>
        <v/>
      </c>
      <c r="P296" s="76" t="str">
        <f>IF(K296="","",VLOOKUP(F296,Tabelle1!$A$2:$L$496,12,0))</f>
        <v/>
      </c>
    </row>
    <row r="297" spans="1:16">
      <c r="A297" s="67"/>
      <c r="B297" s="55"/>
      <c r="C297" s="55"/>
      <c r="D297" s="57" t="str">
        <f>IF(K297="","",VLOOKUP(F297,Tabelle1!$A$2:$C$496,3,0))</f>
        <v/>
      </c>
      <c r="E297" s="57" t="str">
        <f>IF(K297="","",VLOOKUP(F297,Tabelle1!$A$2:$M$496,13,0))</f>
        <v/>
      </c>
      <c r="F297" s="56"/>
      <c r="G297" s="57"/>
      <c r="H297" s="57"/>
      <c r="I297" s="57"/>
      <c r="J297" s="57"/>
      <c r="K297" s="57" t="str">
        <f t="shared" si="18"/>
        <v/>
      </c>
      <c r="L297" s="57" t="str">
        <f>IF(K297="","",VLOOKUP(F297,Tabelle1!$A$2:$I$496,9,0))</f>
        <v/>
      </c>
      <c r="M297" s="57" t="str">
        <f>IF(K297="","",VLOOKUP(F297,Tabelle1!$A$2:$G$496,7,0))</f>
        <v/>
      </c>
      <c r="N297" s="66" t="str">
        <f t="shared" si="19"/>
        <v/>
      </c>
      <c r="O297" s="66" t="str">
        <f>IF(K297="","",((K297*VLOOKUP(F297,Tabelle1!$A$2:$I$496,8,0))/$W$4))</f>
        <v/>
      </c>
      <c r="P297" s="76" t="str">
        <f>IF(K297="","",VLOOKUP(F297,Tabelle1!$A$2:$L$496,12,0))</f>
        <v/>
      </c>
    </row>
    <row r="298" spans="1:16">
      <c r="A298" s="67"/>
      <c r="B298" s="55"/>
      <c r="C298" s="55"/>
      <c r="D298" s="57" t="str">
        <f>IF(K298="","",VLOOKUP(F298,Tabelle1!$A$2:$C$496,3,0))</f>
        <v/>
      </c>
      <c r="E298" s="57" t="str">
        <f>IF(K298="","",VLOOKUP(F298,Tabelle1!$A$2:$M$496,13,0))</f>
        <v/>
      </c>
      <c r="F298" s="56"/>
      <c r="G298" s="57"/>
      <c r="H298" s="57"/>
      <c r="I298" s="57"/>
      <c r="J298" s="57"/>
      <c r="K298" s="57" t="str">
        <f t="shared" si="18"/>
        <v/>
      </c>
      <c r="L298" s="57" t="str">
        <f>IF(K298="","",VLOOKUP(F298,Tabelle1!$A$2:$I$496,9,0))</f>
        <v/>
      </c>
      <c r="M298" s="57" t="str">
        <f>IF(K298="","",VLOOKUP(F298,Tabelle1!$A$2:$G$496,7,0))</f>
        <v/>
      </c>
      <c r="N298" s="66" t="str">
        <f t="shared" si="19"/>
        <v/>
      </c>
      <c r="O298" s="66" t="str">
        <f>IF(K298="","",((K298*VLOOKUP(F298,Tabelle1!$A$2:$I$496,8,0))/$W$4))</f>
        <v/>
      </c>
      <c r="P298" s="76" t="str">
        <f>IF(K298="","",VLOOKUP(F298,Tabelle1!$A$2:$L$496,12,0))</f>
        <v/>
      </c>
    </row>
    <row r="299" spans="1:16">
      <c r="A299" s="67"/>
      <c r="B299" s="55"/>
      <c r="C299" s="55"/>
      <c r="D299" s="57" t="str">
        <f>IF(K299="","",VLOOKUP(F299,Tabelle1!$A$2:$C$496,3,0))</f>
        <v/>
      </c>
      <c r="E299" s="57" t="str">
        <f>IF(K299="","",VLOOKUP(F299,Tabelle1!$A$2:$M$496,13,0))</f>
        <v/>
      </c>
      <c r="F299" s="56"/>
      <c r="G299" s="57"/>
      <c r="H299" s="57"/>
      <c r="I299" s="57"/>
      <c r="J299" s="57"/>
      <c r="K299" s="57" t="str">
        <f t="shared" si="18"/>
        <v/>
      </c>
      <c r="L299" s="57" t="str">
        <f>IF(K299="","",VLOOKUP(F299,Tabelle1!$A$2:$I$496,9,0))</f>
        <v/>
      </c>
      <c r="M299" s="57" t="str">
        <f>IF(K299="","",VLOOKUP(F299,Tabelle1!$A$2:$G$496,7,0))</f>
        <v/>
      </c>
      <c r="N299" s="66" t="str">
        <f t="shared" si="19"/>
        <v/>
      </c>
      <c r="O299" s="66" t="str">
        <f>IF(K299="","",((K299*VLOOKUP(F299,Tabelle1!$A$2:$I$496,8,0))/$W$4))</f>
        <v/>
      </c>
      <c r="P299" s="76" t="str">
        <f>IF(K299="","",VLOOKUP(F299,Tabelle1!$A$2:$L$496,12,0))</f>
        <v/>
      </c>
    </row>
    <row r="300" spans="1:16">
      <c r="A300" s="67"/>
      <c r="B300" s="55"/>
      <c r="C300" s="55"/>
      <c r="D300" s="57" t="str">
        <f>IF(K300="","",VLOOKUP(F300,Tabelle1!$A$2:$C$496,3,0))</f>
        <v/>
      </c>
      <c r="E300" s="57" t="str">
        <f>IF(K300="","",VLOOKUP(F300,Tabelle1!$A$2:$M$496,13,0))</f>
        <v/>
      </c>
      <c r="F300" s="56"/>
      <c r="G300" s="57"/>
      <c r="H300" s="57"/>
      <c r="I300" s="57"/>
      <c r="J300" s="57"/>
      <c r="K300" s="57" t="str">
        <f t="shared" si="18"/>
        <v/>
      </c>
      <c r="L300" s="57" t="str">
        <f>IF(K300="","",VLOOKUP(F300,Tabelle1!$A$2:$I$496,9,0))</f>
        <v/>
      </c>
      <c r="M300" s="57" t="str">
        <f>IF(K300="","",VLOOKUP(F300,Tabelle1!$A$2:$G$496,7,0))</f>
        <v/>
      </c>
      <c r="N300" s="66" t="str">
        <f t="shared" si="19"/>
        <v/>
      </c>
      <c r="O300" s="66" t="str">
        <f>IF(K300="","",((K300*VLOOKUP(F300,Tabelle1!$A$2:$I$496,8,0))/$W$4))</f>
        <v/>
      </c>
      <c r="P300" s="76" t="str">
        <f>IF(K300="","",VLOOKUP(F300,Tabelle1!$A$2:$L$496,12,0))</f>
        <v/>
      </c>
    </row>
    <row r="301" spans="1:16">
      <c r="A301" s="67"/>
      <c r="B301" s="55"/>
      <c r="C301" s="55"/>
      <c r="D301" s="57" t="str">
        <f>IF(K301="","",VLOOKUP(F301,Tabelle1!$A$2:$C$496,3,0))</f>
        <v/>
      </c>
      <c r="E301" s="57" t="str">
        <f>IF(K301="","",VLOOKUP(F301,Tabelle1!$A$2:$M$496,13,0))</f>
        <v/>
      </c>
      <c r="F301" s="56"/>
      <c r="G301" s="57"/>
      <c r="H301" s="57"/>
      <c r="I301" s="57"/>
      <c r="J301" s="57"/>
      <c r="K301" s="57" t="str">
        <f t="shared" si="18"/>
        <v/>
      </c>
      <c r="L301" s="57" t="str">
        <f>IF(K301="","",VLOOKUP(F301,Tabelle1!$A$2:$I$496,9,0))</f>
        <v/>
      </c>
      <c r="M301" s="57" t="str">
        <f>IF(K301="","",VLOOKUP(F301,Tabelle1!$A$2:$G$496,7,0))</f>
        <v/>
      </c>
      <c r="N301" s="66" t="str">
        <f t="shared" si="19"/>
        <v/>
      </c>
      <c r="O301" s="66" t="str">
        <f>IF(K301="","",((K301*VLOOKUP(F301,Tabelle1!$A$2:$I$496,8,0))/$W$4))</f>
        <v/>
      </c>
      <c r="P301" s="76" t="str">
        <f>IF(K301="","",VLOOKUP(F301,Tabelle1!$A$2:$L$496,12,0))</f>
        <v/>
      </c>
    </row>
    <row r="302" spans="1:16">
      <c r="A302" s="67"/>
      <c r="B302" s="55"/>
      <c r="C302" s="55"/>
      <c r="D302" s="57" t="str">
        <f>IF(K302="","",VLOOKUP(F302,Tabelle1!$A$2:$C$496,3,0))</f>
        <v/>
      </c>
      <c r="E302" s="57" t="str">
        <f>IF(K302="","",VLOOKUP(F302,Tabelle1!$A$2:$M$496,13,0))</f>
        <v/>
      </c>
      <c r="F302" s="56"/>
      <c r="G302" s="57"/>
      <c r="H302" s="57"/>
      <c r="I302" s="57"/>
      <c r="J302" s="57"/>
      <c r="K302" s="57" t="str">
        <f t="shared" si="18"/>
        <v/>
      </c>
      <c r="L302" s="57" t="str">
        <f>IF(K302="","",VLOOKUP(F302,Tabelle1!$A$2:$I$496,9,0))</f>
        <v/>
      </c>
      <c r="M302" s="57" t="str">
        <f>IF(K302="","",VLOOKUP(F302,Tabelle1!$A$2:$G$496,7,0))</f>
        <v/>
      </c>
      <c r="N302" s="66" t="str">
        <f t="shared" si="19"/>
        <v/>
      </c>
      <c r="O302" s="66" t="str">
        <f>IF(K302="","",((K302*VLOOKUP(F302,Tabelle1!$A$2:$I$496,8,0))/$W$4))</f>
        <v/>
      </c>
      <c r="P302" s="76" t="str">
        <f>IF(K302="","",VLOOKUP(F302,Tabelle1!$A$2:$L$496,12,0))</f>
        <v/>
      </c>
    </row>
    <row r="303" spans="1:16">
      <c r="A303" s="67"/>
      <c r="B303" s="55"/>
      <c r="C303" s="55"/>
      <c r="D303" s="57" t="str">
        <f>IF(K303="","",VLOOKUP(F303,Tabelle1!$A$2:$C$496,3,0))</f>
        <v/>
      </c>
      <c r="E303" s="57" t="str">
        <f>IF(K303="","",VLOOKUP(F303,Tabelle1!$A$2:$M$496,13,0))</f>
        <v/>
      </c>
      <c r="F303" s="56"/>
      <c r="G303" s="57"/>
      <c r="H303" s="57"/>
      <c r="I303" s="57"/>
      <c r="J303" s="57"/>
      <c r="K303" s="57" t="str">
        <f t="shared" si="18"/>
        <v/>
      </c>
      <c r="L303" s="57" t="str">
        <f>IF(K303="","",VLOOKUP(F303,Tabelle1!$A$2:$I$496,9,0))</f>
        <v/>
      </c>
      <c r="M303" s="57" t="str">
        <f>IF(K303="","",VLOOKUP(F303,Tabelle1!$A$2:$G$496,7,0))</f>
        <v/>
      </c>
      <c r="N303" s="66" t="str">
        <f t="shared" si="19"/>
        <v/>
      </c>
      <c r="O303" s="66" t="str">
        <f>IF(K303="","",((K303*VLOOKUP(F303,Tabelle1!$A$2:$I$496,8,0))/$W$4))</f>
        <v/>
      </c>
      <c r="P303" s="76" t="str">
        <f>IF(K303="","",VLOOKUP(F303,Tabelle1!$A$2:$L$496,12,0))</f>
        <v/>
      </c>
    </row>
    <row r="304" spans="1:16">
      <c r="A304" s="67"/>
      <c r="B304" s="55"/>
      <c r="C304" s="55"/>
      <c r="D304" s="57" t="str">
        <f>IF(K304="","",VLOOKUP(F304,Tabelle1!$A$2:$C$496,3,0))</f>
        <v/>
      </c>
      <c r="E304" s="57" t="str">
        <f>IF(K304="","",VLOOKUP(F304,Tabelle1!$A$2:$M$496,13,0))</f>
        <v/>
      </c>
      <c r="F304" s="56"/>
      <c r="G304" s="57"/>
      <c r="H304" s="57"/>
      <c r="I304" s="57"/>
      <c r="J304" s="57"/>
      <c r="K304" s="57" t="str">
        <f t="shared" si="18"/>
        <v/>
      </c>
      <c r="L304" s="57" t="str">
        <f>IF(K304="","",VLOOKUP(F304,Tabelle1!$A$2:$I$496,9,0))</f>
        <v/>
      </c>
      <c r="M304" s="57" t="str">
        <f>IF(K304="","",VLOOKUP(F304,Tabelle1!$A$2:$G$496,7,0))</f>
        <v/>
      </c>
      <c r="N304" s="66" t="str">
        <f t="shared" si="19"/>
        <v/>
      </c>
      <c r="O304" s="66" t="str">
        <f>IF(K304="","",((K304*VLOOKUP(F304,Tabelle1!$A$2:$I$496,8,0))/$W$4))</f>
        <v/>
      </c>
      <c r="P304" s="76" t="str">
        <f>IF(K304="","",VLOOKUP(F304,Tabelle1!$A$2:$L$496,12,0))</f>
        <v/>
      </c>
    </row>
    <row r="305" spans="1:16">
      <c r="A305" s="67"/>
      <c r="B305" s="55"/>
      <c r="C305" s="55"/>
      <c r="D305" s="57" t="str">
        <f>IF(K305="","",VLOOKUP(F305,Tabelle1!$A$2:$C$496,3,0))</f>
        <v/>
      </c>
      <c r="E305" s="57" t="str">
        <f>IF(K305="","",VLOOKUP(F305,Tabelle1!$A$2:$M$496,13,0))</f>
        <v/>
      </c>
      <c r="F305" s="56"/>
      <c r="G305" s="57"/>
      <c r="H305" s="57"/>
      <c r="I305" s="57"/>
      <c r="J305" s="57"/>
      <c r="K305" s="57" t="str">
        <f t="shared" si="18"/>
        <v/>
      </c>
      <c r="L305" s="57" t="str">
        <f>IF(K305="","",VLOOKUP(F305,Tabelle1!$A$2:$I$496,9,0))</f>
        <v/>
      </c>
      <c r="M305" s="57" t="str">
        <f>IF(K305="","",VLOOKUP(F305,Tabelle1!$A$2:$G$496,7,0))</f>
        <v/>
      </c>
      <c r="N305" s="66" t="str">
        <f t="shared" si="19"/>
        <v/>
      </c>
      <c r="O305" s="66" t="str">
        <f>IF(K305="","",((K305*VLOOKUP(F305,Tabelle1!$A$2:$I$496,8,0))/$W$4))</f>
        <v/>
      </c>
      <c r="P305" s="76" t="str">
        <f>IF(K305="","",VLOOKUP(F305,Tabelle1!$A$2:$L$496,12,0))</f>
        <v/>
      </c>
    </row>
    <row r="306" spans="1:16">
      <c r="A306" s="67"/>
      <c r="B306" s="55"/>
      <c r="C306" s="55"/>
      <c r="D306" s="57" t="str">
        <f>IF(K306="","",VLOOKUP(F306,Tabelle1!$A$2:$C$496,3,0))</f>
        <v/>
      </c>
      <c r="E306" s="57" t="str">
        <f>IF(K306="","",VLOOKUP(F306,Tabelle1!$A$2:$M$496,13,0))</f>
        <v/>
      </c>
      <c r="F306" s="56"/>
      <c r="G306" s="57"/>
      <c r="H306" s="57"/>
      <c r="I306" s="57"/>
      <c r="J306" s="57"/>
      <c r="K306" s="57" t="str">
        <f t="shared" si="18"/>
        <v/>
      </c>
      <c r="L306" s="57" t="str">
        <f>IF(K306="","",VLOOKUP(F306,Tabelle1!$A$2:$I$496,9,0))</f>
        <v/>
      </c>
      <c r="M306" s="57" t="str">
        <f>IF(K306="","",VLOOKUP(F306,Tabelle1!$A$2:$G$496,7,0))</f>
        <v/>
      </c>
      <c r="N306" s="66" t="str">
        <f t="shared" si="19"/>
        <v/>
      </c>
      <c r="O306" s="66" t="str">
        <f>IF(K306="","",((K306*VLOOKUP(F306,Tabelle1!$A$2:$I$496,8,0))/$W$4))</f>
        <v/>
      </c>
      <c r="P306" s="76" t="str">
        <f>IF(K306="","",VLOOKUP(F306,Tabelle1!$A$2:$L$496,12,0))</f>
        <v/>
      </c>
    </row>
    <row r="307" spans="1:16">
      <c r="A307" s="67"/>
      <c r="B307" s="55"/>
      <c r="C307" s="55"/>
      <c r="D307" s="57" t="str">
        <f>IF(K307="","",VLOOKUP(F307,Tabelle1!$A$2:$C$496,3,0))</f>
        <v/>
      </c>
      <c r="E307" s="57" t="str">
        <f>IF(K307="","",VLOOKUP(F307,Tabelle1!$A$2:$M$496,13,0))</f>
        <v/>
      </c>
      <c r="F307" s="56"/>
      <c r="G307" s="57"/>
      <c r="H307" s="57"/>
      <c r="I307" s="57"/>
      <c r="J307" s="57"/>
      <c r="K307" s="57" t="str">
        <f t="shared" si="18"/>
        <v/>
      </c>
      <c r="L307" s="57" t="str">
        <f>IF(K307="","",VLOOKUP(F307,Tabelle1!$A$2:$I$496,9,0))</f>
        <v/>
      </c>
      <c r="M307" s="57" t="str">
        <f>IF(K307="","",VLOOKUP(F307,Tabelle1!$A$2:$G$496,7,0))</f>
        <v/>
      </c>
      <c r="N307" s="66" t="str">
        <f t="shared" si="19"/>
        <v/>
      </c>
      <c r="O307" s="66" t="str">
        <f>IF(K307="","",((K307*VLOOKUP(F307,Tabelle1!$A$2:$I$496,8,0))/$W$4))</f>
        <v/>
      </c>
      <c r="P307" s="76" t="str">
        <f>IF(K307="","",VLOOKUP(F307,Tabelle1!$A$2:$L$496,12,0))</f>
        <v/>
      </c>
    </row>
    <row r="308" spans="1:16">
      <c r="A308" s="67"/>
      <c r="B308" s="55"/>
      <c r="C308" s="55"/>
      <c r="D308" s="57" t="str">
        <f>IF(K308="","",VLOOKUP(F308,Tabelle1!$A$2:$C$496,3,0))</f>
        <v/>
      </c>
      <c r="E308" s="57" t="str">
        <f>IF(K308="","",VLOOKUP(F308,Tabelle1!$A$2:$M$496,13,0))</f>
        <v/>
      </c>
      <c r="F308" s="56"/>
      <c r="G308" s="57"/>
      <c r="H308" s="57"/>
      <c r="I308" s="57"/>
      <c r="J308" s="57"/>
      <c r="K308" s="57" t="str">
        <f t="shared" si="18"/>
        <v/>
      </c>
      <c r="L308" s="57" t="str">
        <f>IF(K308="","",VLOOKUP(F308,Tabelle1!$A$2:$I$496,9,0))</f>
        <v/>
      </c>
      <c r="M308" s="57" t="str">
        <f>IF(K308="","",VLOOKUP(F308,Tabelle1!$A$2:$G$496,7,0))</f>
        <v/>
      </c>
      <c r="N308" s="66" t="str">
        <f t="shared" si="19"/>
        <v/>
      </c>
      <c r="O308" s="66" t="str">
        <f>IF(K308="","",((K308*VLOOKUP(F308,Tabelle1!$A$2:$I$496,8,0))/$W$4))</f>
        <v/>
      </c>
      <c r="P308" s="76" t="str">
        <f>IF(K308="","",VLOOKUP(F308,Tabelle1!$A$2:$L$496,12,0))</f>
        <v/>
      </c>
    </row>
    <row r="309" spans="1:16">
      <c r="A309" s="67"/>
      <c r="B309" s="55"/>
      <c r="C309" s="55"/>
      <c r="D309" s="57" t="str">
        <f>IF(K309="","",VLOOKUP(F309,Tabelle1!$A$2:$C$496,3,0))</f>
        <v/>
      </c>
      <c r="E309" s="57" t="str">
        <f>IF(K309="","",VLOOKUP(F309,Tabelle1!$A$2:$M$496,13,0))</f>
        <v/>
      </c>
      <c r="F309" s="56"/>
      <c r="G309" s="57"/>
      <c r="H309" s="57"/>
      <c r="I309" s="57"/>
      <c r="J309" s="57"/>
      <c r="K309" s="57" t="str">
        <f t="shared" si="18"/>
        <v/>
      </c>
      <c r="L309" s="57" t="str">
        <f>IF(K309="","",VLOOKUP(F309,Tabelle1!$A$2:$I$496,9,0))</f>
        <v/>
      </c>
      <c r="M309" s="57" t="str">
        <f>IF(K309="","",VLOOKUP(F309,Tabelle1!$A$2:$G$496,7,0))</f>
        <v/>
      </c>
      <c r="N309" s="66" t="str">
        <f t="shared" si="19"/>
        <v/>
      </c>
      <c r="O309" s="66" t="str">
        <f>IF(K309="","",((K309*VLOOKUP(F309,Tabelle1!$A$2:$I$496,8,0))/$W$4))</f>
        <v/>
      </c>
      <c r="P309" s="76" t="str">
        <f>IF(K309="","",VLOOKUP(F309,Tabelle1!$A$2:$L$496,12,0))</f>
        <v/>
      </c>
    </row>
    <row r="310" spans="1:16">
      <c r="A310" s="67"/>
      <c r="B310" s="55"/>
      <c r="C310" s="55"/>
      <c r="D310" s="57" t="str">
        <f>IF(K310="","",VLOOKUP(F310,Tabelle1!$A$2:$C$496,3,0))</f>
        <v/>
      </c>
      <c r="E310" s="57" t="str">
        <f>IF(K310="","",VLOOKUP(F310,Tabelle1!$A$2:$M$496,13,0))</f>
        <v/>
      </c>
      <c r="F310" s="56"/>
      <c r="G310" s="57"/>
      <c r="H310" s="57"/>
      <c r="I310" s="57"/>
      <c r="J310" s="57"/>
      <c r="K310" s="57" t="str">
        <f t="shared" si="18"/>
        <v/>
      </c>
      <c r="L310" s="57" t="str">
        <f>IF(K310="","",VLOOKUP(F310,Tabelle1!$A$2:$I$496,9,0))</f>
        <v/>
      </c>
      <c r="M310" s="57" t="str">
        <f>IF(K310="","",VLOOKUP(F310,Tabelle1!$A$2:$G$496,7,0))</f>
        <v/>
      </c>
      <c r="N310" s="66" t="str">
        <f t="shared" si="19"/>
        <v/>
      </c>
      <c r="O310" s="66" t="str">
        <f>IF(K310="","",((K310*VLOOKUP(F310,Tabelle1!$A$2:$I$496,8,0))/$W$4))</f>
        <v/>
      </c>
      <c r="P310" s="76" t="str">
        <f>IF(K310="","",VLOOKUP(F310,Tabelle1!$A$2:$L$496,12,0))</f>
        <v/>
      </c>
    </row>
    <row r="311" spans="1:16">
      <c r="A311" s="67"/>
      <c r="B311" s="55"/>
      <c r="C311" s="55"/>
      <c r="D311" s="57" t="str">
        <f>IF(K311="","",VLOOKUP(F311,Tabelle1!$A$2:$C$496,3,0))</f>
        <v/>
      </c>
      <c r="E311" s="57" t="str">
        <f>IF(K311="","",VLOOKUP(F311,Tabelle1!$A$2:$M$496,13,0))</f>
        <v/>
      </c>
      <c r="F311" s="56"/>
      <c r="G311" s="57"/>
      <c r="H311" s="57"/>
      <c r="I311" s="57"/>
      <c r="J311" s="57"/>
      <c r="K311" s="57" t="str">
        <f t="shared" si="18"/>
        <v/>
      </c>
      <c r="L311" s="57" t="str">
        <f>IF(K311="","",VLOOKUP(F311,Tabelle1!$A$2:$I$496,9,0))</f>
        <v/>
      </c>
      <c r="M311" s="57" t="str">
        <f>IF(K311="","",VLOOKUP(F311,Tabelle1!$A$2:$G$496,7,0))</f>
        <v/>
      </c>
      <c r="N311" s="66" t="str">
        <f t="shared" si="19"/>
        <v/>
      </c>
      <c r="O311" s="66" t="str">
        <f>IF(K311="","",((K311*VLOOKUP(F311,Tabelle1!$A$2:$I$496,8,0))/$W$4))</f>
        <v/>
      </c>
      <c r="P311" s="76" t="str">
        <f>IF(K311="","",VLOOKUP(F311,Tabelle1!$A$2:$L$496,12,0))</f>
        <v/>
      </c>
    </row>
    <row r="312" spans="1:16">
      <c r="A312" s="67"/>
      <c r="B312" s="55"/>
      <c r="C312" s="55"/>
      <c r="D312" s="57" t="str">
        <f>IF(K312="","",VLOOKUP(F312,Tabelle1!$A$2:$C$496,3,0))</f>
        <v/>
      </c>
      <c r="E312" s="57" t="str">
        <f>IF(K312="","",VLOOKUP(F312,Tabelle1!$A$2:$M$496,13,0))</f>
        <v/>
      </c>
      <c r="F312" s="56"/>
      <c r="G312" s="57"/>
      <c r="H312" s="57"/>
      <c r="I312" s="57"/>
      <c r="J312" s="57"/>
      <c r="K312" s="57" t="str">
        <f t="shared" si="18"/>
        <v/>
      </c>
      <c r="L312" s="57" t="str">
        <f>IF(K312="","",VLOOKUP(F312,Tabelle1!$A$2:$I$496,9,0))</f>
        <v/>
      </c>
      <c r="M312" s="57" t="str">
        <f>IF(K312="","",VLOOKUP(F312,Tabelle1!$A$2:$G$496,7,0))</f>
        <v/>
      </c>
      <c r="N312" s="66" t="str">
        <f t="shared" si="19"/>
        <v/>
      </c>
      <c r="O312" s="66" t="str">
        <f>IF(K312="","",((K312*VLOOKUP(F312,Tabelle1!$A$2:$I$496,8,0))/$W$4))</f>
        <v/>
      </c>
      <c r="P312" s="76" t="str">
        <f>IF(K312="","",VLOOKUP(F312,Tabelle1!$A$2:$L$496,12,0))</f>
        <v/>
      </c>
    </row>
    <row r="313" spans="1:16">
      <c r="A313" s="67"/>
      <c r="B313" s="55"/>
      <c r="C313" s="55"/>
      <c r="D313" s="57" t="str">
        <f>IF(K313="","",VLOOKUP(F313,Tabelle1!$A$2:$C$496,3,0))</f>
        <v/>
      </c>
      <c r="E313" s="57" t="str">
        <f>IF(K313="","",VLOOKUP(F313,Tabelle1!$A$2:$M$496,13,0))</f>
        <v/>
      </c>
      <c r="F313" s="56"/>
      <c r="G313" s="57"/>
      <c r="H313" s="57"/>
      <c r="I313" s="57"/>
      <c r="J313" s="57"/>
      <c r="K313" s="57" t="str">
        <f t="shared" si="18"/>
        <v/>
      </c>
      <c r="L313" s="57" t="str">
        <f>IF(K313="","",VLOOKUP(F313,Tabelle1!$A$2:$I$496,9,0))</f>
        <v/>
      </c>
      <c r="M313" s="57" t="str">
        <f>IF(K313="","",VLOOKUP(F313,Tabelle1!$A$2:$G$496,7,0))</f>
        <v/>
      </c>
      <c r="N313" s="66" t="str">
        <f t="shared" si="19"/>
        <v/>
      </c>
      <c r="O313" s="66" t="str">
        <f>IF(K313="","",((K313*VLOOKUP(F313,Tabelle1!$A$2:$I$496,8,0))/$W$4))</f>
        <v/>
      </c>
      <c r="P313" s="76" t="str">
        <f>IF(K313="","",VLOOKUP(F313,Tabelle1!$A$2:$L$496,12,0))</f>
        <v/>
      </c>
    </row>
    <row r="314" spans="1:16">
      <c r="A314" s="67"/>
      <c r="B314" s="55"/>
      <c r="C314" s="55"/>
      <c r="D314" s="57" t="str">
        <f>IF(K314="","",VLOOKUP(F314,Tabelle1!$A$2:$C$496,3,0))</f>
        <v/>
      </c>
      <c r="E314" s="57" t="str">
        <f>IF(K314="","",VLOOKUP(F314,Tabelle1!$A$2:$M$496,13,0))</f>
        <v/>
      </c>
      <c r="F314" s="56"/>
      <c r="G314" s="57"/>
      <c r="H314" s="57"/>
      <c r="I314" s="57"/>
      <c r="J314" s="57"/>
      <c r="K314" s="57" t="str">
        <f t="shared" si="18"/>
        <v/>
      </c>
      <c r="L314" s="57" t="str">
        <f>IF(K314="","",VLOOKUP(F314,Tabelle1!$A$2:$I$496,9,0))</f>
        <v/>
      </c>
      <c r="M314" s="57" t="str">
        <f>IF(K314="","",VLOOKUP(F314,Tabelle1!$A$2:$G$496,7,0))</f>
        <v/>
      </c>
      <c r="N314" s="66" t="str">
        <f t="shared" si="19"/>
        <v/>
      </c>
      <c r="O314" s="66" t="str">
        <f>IF(K314="","",((K314*VLOOKUP(F314,Tabelle1!$A$2:$I$496,8,0))/$W$4))</f>
        <v/>
      </c>
      <c r="P314" s="76" t="str">
        <f>IF(K314="","",VLOOKUP(F314,Tabelle1!$A$2:$L$496,12,0))</f>
        <v/>
      </c>
    </row>
    <row r="315" spans="1:16">
      <c r="A315" s="67"/>
      <c r="B315" s="55"/>
      <c r="C315" s="55"/>
      <c r="D315" s="57" t="str">
        <f>IF(K315="","",VLOOKUP(F315,Tabelle1!$A$2:$C$496,3,0))</f>
        <v/>
      </c>
      <c r="E315" s="57" t="str">
        <f>IF(K315="","",VLOOKUP(F315,Tabelle1!$A$2:$M$496,13,0))</f>
        <v/>
      </c>
      <c r="F315" s="56"/>
      <c r="G315" s="57"/>
      <c r="H315" s="57"/>
      <c r="I315" s="57"/>
      <c r="J315" s="57"/>
      <c r="K315" s="57" t="str">
        <f t="shared" si="18"/>
        <v/>
      </c>
      <c r="L315" s="57" t="str">
        <f>IF(K315="","",VLOOKUP(F315,Tabelle1!$A$2:$I$496,9,0))</f>
        <v/>
      </c>
      <c r="M315" s="57" t="str">
        <f>IF(K315="","",VLOOKUP(F315,Tabelle1!$A$2:$G$496,7,0))</f>
        <v/>
      </c>
      <c r="N315" s="66" t="str">
        <f t="shared" si="19"/>
        <v/>
      </c>
      <c r="O315" s="66" t="str">
        <f>IF(K315="","",((K315*VLOOKUP(F315,Tabelle1!$A$2:$I$496,8,0))/$W$4))</f>
        <v/>
      </c>
      <c r="P315" s="76" t="str">
        <f>IF(K315="","",VLOOKUP(F315,Tabelle1!$A$2:$L$496,12,0))</f>
        <v/>
      </c>
    </row>
    <row r="316" spans="1:16">
      <c r="A316" s="67"/>
      <c r="B316" s="55"/>
      <c r="C316" s="55"/>
      <c r="D316" s="57" t="str">
        <f>IF(K316="","",VLOOKUP(F316,Tabelle1!$A$2:$C$496,3,0))</f>
        <v/>
      </c>
      <c r="E316" s="57" t="str">
        <f>IF(K316="","",VLOOKUP(F316,Tabelle1!$A$2:$M$496,13,0))</f>
        <v/>
      </c>
      <c r="F316" s="56"/>
      <c r="G316" s="57"/>
      <c r="H316" s="57"/>
      <c r="I316" s="57"/>
      <c r="J316" s="57"/>
      <c r="K316" s="57" t="str">
        <f t="shared" si="18"/>
        <v/>
      </c>
      <c r="L316" s="57" t="str">
        <f>IF(K316="","",VLOOKUP(F316,Tabelle1!$A$2:$I$496,9,0))</f>
        <v/>
      </c>
      <c r="M316" s="57" t="str">
        <f>IF(K316="","",VLOOKUP(F316,Tabelle1!$A$2:$G$496,7,0))</f>
        <v/>
      </c>
      <c r="N316" s="66" t="str">
        <f t="shared" si="19"/>
        <v/>
      </c>
      <c r="O316" s="66" t="str">
        <f>IF(K316="","",((K316*VLOOKUP(F316,Tabelle1!$A$2:$I$496,8,0))/$W$4))</f>
        <v/>
      </c>
      <c r="P316" s="76" t="str">
        <f>IF(K316="","",VLOOKUP(F316,Tabelle1!$A$2:$L$496,12,0))</f>
        <v/>
      </c>
    </row>
    <row r="317" spans="1:16">
      <c r="A317" s="67"/>
      <c r="B317" s="55"/>
      <c r="C317" s="55"/>
      <c r="D317" s="57" t="str">
        <f>IF(K317="","",VLOOKUP(F317,Tabelle1!$A$2:$C$496,3,0))</f>
        <v/>
      </c>
      <c r="E317" s="57" t="str">
        <f>IF(K317="","",VLOOKUP(F317,Tabelle1!$A$2:$M$496,13,0))</f>
        <v/>
      </c>
      <c r="F317" s="56"/>
      <c r="G317" s="57"/>
      <c r="H317" s="57"/>
      <c r="I317" s="57"/>
      <c r="J317" s="57"/>
      <c r="K317" s="57" t="str">
        <f t="shared" si="18"/>
        <v/>
      </c>
      <c r="L317" s="57" t="str">
        <f>IF(K317="","",VLOOKUP(F317,Tabelle1!$A$2:$I$496,9,0))</f>
        <v/>
      </c>
      <c r="M317" s="57" t="str">
        <f>IF(K317="","",VLOOKUP(F317,Tabelle1!$A$2:$G$496,7,0))</f>
        <v/>
      </c>
      <c r="N317" s="66" t="str">
        <f t="shared" si="19"/>
        <v/>
      </c>
      <c r="O317" s="66" t="str">
        <f>IF(K317="","",((K317*VLOOKUP(F317,Tabelle1!$A$2:$I$496,8,0))/$W$4))</f>
        <v/>
      </c>
      <c r="P317" s="76" t="str">
        <f>IF(K317="","",VLOOKUP(F317,Tabelle1!$A$2:$L$496,12,0))</f>
        <v/>
      </c>
    </row>
    <row r="318" spans="1:16">
      <c r="A318" s="67"/>
      <c r="B318" s="55"/>
      <c r="C318" s="55"/>
      <c r="D318" s="57" t="str">
        <f>IF(K318="","",VLOOKUP(F318,Tabelle1!$A$2:$C$496,3,0))</f>
        <v/>
      </c>
      <c r="E318" s="57" t="str">
        <f>IF(K318="","",VLOOKUP(F318,Tabelle1!$A$2:$M$496,13,0))</f>
        <v/>
      </c>
      <c r="F318" s="56"/>
      <c r="G318" s="57"/>
      <c r="H318" s="57"/>
      <c r="I318" s="57"/>
      <c r="J318" s="57"/>
      <c r="K318" s="57" t="str">
        <f t="shared" si="18"/>
        <v/>
      </c>
      <c r="L318" s="57" t="str">
        <f>IF(K318="","",VLOOKUP(F318,Tabelle1!$A$2:$I$496,9,0))</f>
        <v/>
      </c>
      <c r="M318" s="57" t="str">
        <f>IF(K318="","",VLOOKUP(F318,Tabelle1!$A$2:$G$496,7,0))</f>
        <v/>
      </c>
      <c r="N318" s="66" t="str">
        <f t="shared" si="19"/>
        <v/>
      </c>
      <c r="O318" s="66" t="str">
        <f>IF(K318="","",((K318*VLOOKUP(F318,Tabelle1!$A$2:$I$496,8,0))/$W$4))</f>
        <v/>
      </c>
      <c r="P318" s="76" t="str">
        <f>IF(K318="","",VLOOKUP(F318,Tabelle1!$A$2:$L$496,12,0))</f>
        <v/>
      </c>
    </row>
    <row r="319" spans="1:16">
      <c r="A319" s="67"/>
      <c r="B319" s="55"/>
      <c r="C319" s="55"/>
      <c r="D319" s="57" t="str">
        <f>IF(K319="","",VLOOKUP(F319,Tabelle1!$A$2:$C$496,3,0))</f>
        <v/>
      </c>
      <c r="E319" s="57" t="str">
        <f>IF(K319="","",VLOOKUP(F319,Tabelle1!$A$2:$M$496,13,0))</f>
        <v/>
      </c>
      <c r="F319" s="56"/>
      <c r="G319" s="57"/>
      <c r="H319" s="57"/>
      <c r="I319" s="57"/>
      <c r="J319" s="57"/>
      <c r="K319" s="57" t="str">
        <f t="shared" si="18"/>
        <v/>
      </c>
      <c r="L319" s="57" t="str">
        <f>IF(K319="","",VLOOKUP(F319,Tabelle1!$A$2:$I$496,9,0))</f>
        <v/>
      </c>
      <c r="M319" s="57" t="str">
        <f>IF(K319="","",VLOOKUP(F319,Tabelle1!$A$2:$G$496,7,0))</f>
        <v/>
      </c>
      <c r="N319" s="66" t="str">
        <f t="shared" si="19"/>
        <v/>
      </c>
      <c r="O319" s="66" t="str">
        <f>IF(K319="","",((K319*VLOOKUP(F319,Tabelle1!$A$2:$I$496,8,0))/$W$4))</f>
        <v/>
      </c>
      <c r="P319" s="76" t="str">
        <f>IF(K319="","",VLOOKUP(F319,Tabelle1!$A$2:$L$496,12,0))</f>
        <v/>
      </c>
    </row>
    <row r="320" spans="1:16">
      <c r="A320" s="67"/>
      <c r="B320" s="55"/>
      <c r="C320" s="55"/>
      <c r="D320" s="57" t="str">
        <f>IF(K320="","",VLOOKUP(F320,Tabelle1!$A$2:$C$496,3,0))</f>
        <v/>
      </c>
      <c r="E320" s="57" t="str">
        <f>IF(K320="","",VLOOKUP(F320,Tabelle1!$A$2:$M$496,13,0))</f>
        <v/>
      </c>
      <c r="F320" s="56"/>
      <c r="G320" s="57"/>
      <c r="H320" s="57"/>
      <c r="I320" s="57"/>
      <c r="J320" s="57"/>
      <c r="K320" s="57" t="str">
        <f t="shared" si="18"/>
        <v/>
      </c>
      <c r="L320" s="57" t="str">
        <f>IF(K320="","",VLOOKUP(F320,Tabelle1!$A$2:$I$496,9,0))</f>
        <v/>
      </c>
      <c r="M320" s="57" t="str">
        <f>IF(K320="","",VLOOKUP(F320,Tabelle1!$A$2:$G$496,7,0))</f>
        <v/>
      </c>
      <c r="N320" s="66" t="str">
        <f t="shared" si="19"/>
        <v/>
      </c>
      <c r="O320" s="66" t="str">
        <f>IF(K320="","",((K320*VLOOKUP(F320,Tabelle1!$A$2:$I$496,8,0))/$W$4))</f>
        <v/>
      </c>
      <c r="P320" s="76" t="str">
        <f>IF(K320="","",VLOOKUP(F320,Tabelle1!$A$2:$L$496,12,0))</f>
        <v/>
      </c>
    </row>
    <row r="321" spans="1:16">
      <c r="A321" s="67"/>
      <c r="B321" s="55"/>
      <c r="C321" s="55"/>
      <c r="D321" s="57" t="str">
        <f>IF(K321="","",VLOOKUP(F321,Tabelle1!$A$2:$C$496,3,0))</f>
        <v/>
      </c>
      <c r="E321" s="57" t="str">
        <f>IF(K321="","",VLOOKUP(F321,Tabelle1!$A$2:$M$496,13,0))</f>
        <v/>
      </c>
      <c r="F321" s="56"/>
      <c r="G321" s="57"/>
      <c r="H321" s="57"/>
      <c r="I321" s="57"/>
      <c r="J321" s="57"/>
      <c r="K321" s="57" t="str">
        <f t="shared" si="18"/>
        <v/>
      </c>
      <c r="L321" s="57" t="str">
        <f>IF(K321="","",VLOOKUP(F321,Tabelle1!$A$2:$I$496,9,0))</f>
        <v/>
      </c>
      <c r="M321" s="57" t="str">
        <f>IF(K321="","",VLOOKUP(F321,Tabelle1!$A$2:$G$496,7,0))</f>
        <v/>
      </c>
      <c r="N321" s="66" t="str">
        <f t="shared" si="19"/>
        <v/>
      </c>
      <c r="O321" s="66" t="str">
        <f>IF(K321="","",((K321*VLOOKUP(F321,Tabelle1!$A$2:$I$496,8,0))/$W$4))</f>
        <v/>
      </c>
      <c r="P321" s="76" t="str">
        <f>IF(K321="","",VLOOKUP(F321,Tabelle1!$A$2:$L$496,12,0))</f>
        <v/>
      </c>
    </row>
    <row r="322" spans="1:16">
      <c r="A322" s="67"/>
      <c r="B322" s="55"/>
      <c r="C322" s="55"/>
      <c r="D322" s="57" t="str">
        <f>IF(K322="","",VLOOKUP(F322,Tabelle1!$A$2:$C$496,3,0))</f>
        <v/>
      </c>
      <c r="E322" s="57" t="str">
        <f>IF(K322="","",VLOOKUP(F322,Tabelle1!$A$2:$M$496,13,0))</f>
        <v/>
      </c>
      <c r="F322" s="56"/>
      <c r="G322" s="57"/>
      <c r="H322" s="57"/>
      <c r="I322" s="57"/>
      <c r="J322" s="57"/>
      <c r="K322" s="57" t="str">
        <f t="shared" si="18"/>
        <v/>
      </c>
      <c r="L322" s="57" t="str">
        <f>IF(K322="","",VLOOKUP(F322,Tabelle1!$A$2:$I$496,9,0))</f>
        <v/>
      </c>
      <c r="M322" s="57" t="str">
        <f>IF(K322="","",VLOOKUP(F322,Tabelle1!$A$2:$G$496,7,0))</f>
        <v/>
      </c>
      <c r="N322" s="66" t="str">
        <f t="shared" si="19"/>
        <v/>
      </c>
      <c r="O322" s="66" t="str">
        <f>IF(K322="","",((K322*VLOOKUP(F322,Tabelle1!$A$2:$I$496,8,0))/$W$4))</f>
        <v/>
      </c>
      <c r="P322" s="76" t="str">
        <f>IF(K322="","",VLOOKUP(F322,Tabelle1!$A$2:$L$496,12,0))</f>
        <v/>
      </c>
    </row>
    <row r="323" spans="1:16">
      <c r="A323" s="67"/>
      <c r="B323" s="55"/>
      <c r="C323" s="55"/>
      <c r="D323" s="57" t="str">
        <f>IF(K323="","",VLOOKUP(F323,Tabelle1!$A$2:$C$496,3,0))</f>
        <v/>
      </c>
      <c r="E323" s="57" t="str">
        <f>IF(K323="","",VLOOKUP(F323,Tabelle1!$A$2:$M$496,13,0))</f>
        <v/>
      </c>
      <c r="F323" s="56"/>
      <c r="G323" s="57"/>
      <c r="H323" s="57"/>
      <c r="I323" s="57"/>
      <c r="J323" s="57"/>
      <c r="K323" s="57" t="str">
        <f t="shared" si="18"/>
        <v/>
      </c>
      <c r="L323" s="57" t="str">
        <f>IF(K323="","",VLOOKUP(F323,Tabelle1!$A$2:$I$496,9,0))</f>
        <v/>
      </c>
      <c r="M323" s="57" t="str">
        <f>IF(K323="","",VLOOKUP(F323,Tabelle1!$A$2:$G$496,7,0))</f>
        <v/>
      </c>
      <c r="N323" s="66" t="str">
        <f t="shared" si="19"/>
        <v/>
      </c>
      <c r="O323" s="66" t="str">
        <f>IF(K323="","",((K323*VLOOKUP(F323,Tabelle1!$A$2:$I$496,8,0))/$W$4))</f>
        <v/>
      </c>
      <c r="P323" s="76" t="str">
        <f>IF(K323="","",VLOOKUP(F323,Tabelle1!$A$2:$L$496,12,0))</f>
        <v/>
      </c>
    </row>
    <row r="324" spans="1:16">
      <c r="A324" s="67"/>
      <c r="B324" s="55"/>
      <c r="C324" s="55"/>
      <c r="D324" s="57" t="str">
        <f>IF(K324="","",VLOOKUP(F324,Tabelle1!$A$2:$C$496,3,0))</f>
        <v/>
      </c>
      <c r="E324" s="57" t="str">
        <f>IF(K324="","",VLOOKUP(F324,Tabelle1!$A$2:$M$496,13,0))</f>
        <v/>
      </c>
      <c r="F324" s="56"/>
      <c r="G324" s="57"/>
      <c r="H324" s="57"/>
      <c r="I324" s="57"/>
      <c r="J324" s="57"/>
      <c r="K324" s="57" t="str">
        <f t="shared" si="18"/>
        <v/>
      </c>
      <c r="L324" s="57" t="str">
        <f>IF(K324="","",VLOOKUP(F324,Tabelle1!$A$2:$I$496,9,0))</f>
        <v/>
      </c>
      <c r="M324" s="57" t="str">
        <f>IF(K324="","",VLOOKUP(F324,Tabelle1!$A$2:$G$496,7,0))</f>
        <v/>
      </c>
      <c r="N324" s="66" t="str">
        <f t="shared" si="19"/>
        <v/>
      </c>
      <c r="O324" s="66" t="str">
        <f>IF(K324="","",((K324*VLOOKUP(F324,Tabelle1!$A$2:$I$496,8,0))/$W$4))</f>
        <v/>
      </c>
      <c r="P324" s="76" t="str">
        <f>IF(K324="","",VLOOKUP(F324,Tabelle1!$A$2:$L$496,12,0))</f>
        <v/>
      </c>
    </row>
    <row r="325" spans="1:16">
      <c r="A325" s="67"/>
      <c r="B325" s="55"/>
      <c r="C325" s="55"/>
      <c r="D325" s="57" t="str">
        <f>IF(K325="","",VLOOKUP(F325,Tabelle1!$A$2:$C$496,3,0))</f>
        <v/>
      </c>
      <c r="E325" s="57" t="str">
        <f>IF(K325="","",VLOOKUP(F325,Tabelle1!$A$2:$M$496,13,0))</f>
        <v/>
      </c>
      <c r="F325" s="56"/>
      <c r="G325" s="57"/>
      <c r="H325" s="57"/>
      <c r="I325" s="57"/>
      <c r="J325" s="57"/>
      <c r="K325" s="57" t="str">
        <f t="shared" si="18"/>
        <v/>
      </c>
      <c r="L325" s="57" t="str">
        <f>IF(K325="","",VLOOKUP(F325,Tabelle1!$A$2:$I$496,9,0))</f>
        <v/>
      </c>
      <c r="M325" s="57" t="str">
        <f>IF(K325="","",VLOOKUP(F325,Tabelle1!$A$2:$G$496,7,0))</f>
        <v/>
      </c>
      <c r="N325" s="66" t="str">
        <f t="shared" si="19"/>
        <v/>
      </c>
      <c r="O325" s="66" t="str">
        <f>IF(K325="","",((K325*VLOOKUP(F325,Tabelle1!$A$2:$I$496,8,0))/$W$4))</f>
        <v/>
      </c>
      <c r="P325" s="76" t="str">
        <f>IF(K325="","",VLOOKUP(F325,Tabelle1!$A$2:$L$496,12,0))</f>
        <v/>
      </c>
    </row>
    <row r="326" spans="1:16">
      <c r="A326" s="67"/>
      <c r="B326" s="55"/>
      <c r="C326" s="55"/>
      <c r="D326" s="57" t="str">
        <f>IF(K326="","",VLOOKUP(F326,Tabelle1!$A$2:$C$496,3,0))</f>
        <v/>
      </c>
      <c r="E326" s="57" t="str">
        <f>IF(K326="","",VLOOKUP(F326,Tabelle1!$A$2:$M$496,13,0))</f>
        <v/>
      </c>
      <c r="F326" s="56"/>
      <c r="G326" s="57"/>
      <c r="H326" s="57"/>
      <c r="I326" s="57"/>
      <c r="J326" s="57"/>
      <c r="K326" s="57" t="str">
        <f t="shared" si="18"/>
        <v/>
      </c>
      <c r="L326" s="57" t="str">
        <f>IF(K326="","",VLOOKUP(F326,Tabelle1!$A$2:$I$496,9,0))</f>
        <v/>
      </c>
      <c r="M326" s="57" t="str">
        <f>IF(K326="","",VLOOKUP(F326,Tabelle1!$A$2:$G$496,7,0))</f>
        <v/>
      </c>
      <c r="N326" s="66" t="str">
        <f t="shared" si="19"/>
        <v/>
      </c>
      <c r="O326" s="66" t="str">
        <f>IF(K326="","",((K326*VLOOKUP(F326,Tabelle1!$A$2:$I$496,8,0))/$W$4))</f>
        <v/>
      </c>
      <c r="P326" s="76" t="str">
        <f>IF(K326="","",VLOOKUP(F326,Tabelle1!$A$2:$L$496,12,0))</f>
        <v/>
      </c>
    </row>
    <row r="327" spans="1:16">
      <c r="A327" s="67"/>
      <c r="B327" s="55"/>
      <c r="C327" s="55"/>
      <c r="D327" s="57" t="str">
        <f>IF(K327="","",VLOOKUP(F327,Tabelle1!$A$2:$C$496,3,0))</f>
        <v/>
      </c>
      <c r="E327" s="57" t="str">
        <f>IF(K327="","",VLOOKUP(F327,Tabelle1!$A$2:$M$496,13,0))</f>
        <v/>
      </c>
      <c r="F327" s="56"/>
      <c r="G327" s="57"/>
      <c r="H327" s="57"/>
      <c r="I327" s="57"/>
      <c r="J327" s="57"/>
      <c r="K327" s="57" t="str">
        <f t="shared" si="18"/>
        <v/>
      </c>
      <c r="L327" s="57" t="str">
        <f>IF(K327="","",VLOOKUP(F327,Tabelle1!$A$2:$I$496,9,0))</f>
        <v/>
      </c>
      <c r="M327" s="57" t="str">
        <f>IF(K327="","",VLOOKUP(F327,Tabelle1!$A$2:$G$496,7,0))</f>
        <v/>
      </c>
      <c r="N327" s="66" t="str">
        <f t="shared" si="19"/>
        <v/>
      </c>
      <c r="O327" s="66" t="str">
        <f>IF(K327="","",((K327*VLOOKUP(F327,Tabelle1!$A$2:$I$496,8,0))/$W$4))</f>
        <v/>
      </c>
      <c r="P327" s="76" t="str">
        <f>IF(K327="","",VLOOKUP(F327,Tabelle1!$A$2:$L$496,12,0))</f>
        <v/>
      </c>
    </row>
    <row r="328" spans="1:16">
      <c r="A328" s="67"/>
      <c r="B328" s="55"/>
      <c r="C328" s="55"/>
      <c r="D328" s="57" t="str">
        <f>IF(K328="","",VLOOKUP(F328,Tabelle1!$A$2:$C$496,3,0))</f>
        <v/>
      </c>
      <c r="E328" s="57" t="str">
        <f>IF(K328="","",VLOOKUP(F328,Tabelle1!$A$2:$M$496,13,0))</f>
        <v/>
      </c>
      <c r="F328" s="56"/>
      <c r="G328" s="57"/>
      <c r="H328" s="57"/>
      <c r="I328" s="57"/>
      <c r="J328" s="57"/>
      <c r="K328" s="57" t="str">
        <f t="shared" si="18"/>
        <v/>
      </c>
      <c r="L328" s="57" t="str">
        <f>IF(K328="","",VLOOKUP(F328,Tabelle1!$A$2:$I$496,9,0))</f>
        <v/>
      </c>
      <c r="M328" s="57" t="str">
        <f>IF(K328="","",VLOOKUP(F328,Tabelle1!$A$2:$G$496,7,0))</f>
        <v/>
      </c>
      <c r="N328" s="66" t="str">
        <f t="shared" si="19"/>
        <v/>
      </c>
      <c r="O328" s="66" t="str">
        <f>IF(K328="","",((K328*VLOOKUP(F328,Tabelle1!$A$2:$I$496,8,0))/$W$4))</f>
        <v/>
      </c>
      <c r="P328" s="76" t="str">
        <f>IF(K328="","",VLOOKUP(F328,Tabelle1!$A$2:$L$496,12,0))</f>
        <v/>
      </c>
    </row>
    <row r="329" spans="1:16">
      <c r="A329" s="67"/>
      <c r="B329" s="55"/>
      <c r="C329" s="55"/>
      <c r="D329" s="57" t="str">
        <f>IF(K329="","",VLOOKUP(F329,Tabelle1!$A$2:$C$496,3,0))</f>
        <v/>
      </c>
      <c r="E329" s="57" t="str">
        <f>IF(K329="","",VLOOKUP(F329,Tabelle1!$A$2:$M$496,13,0))</f>
        <v/>
      </c>
      <c r="F329" s="56"/>
      <c r="G329" s="57"/>
      <c r="H329" s="57"/>
      <c r="I329" s="57"/>
      <c r="J329" s="57"/>
      <c r="K329" s="57" t="str">
        <f t="shared" si="18"/>
        <v/>
      </c>
      <c r="L329" s="57" t="str">
        <f>IF(K329="","",VLOOKUP(F329,Tabelle1!$A$2:$I$496,9,0))</f>
        <v/>
      </c>
      <c r="M329" s="57" t="str">
        <f>IF(K329="","",VLOOKUP(F329,Tabelle1!$A$2:$G$496,7,0))</f>
        <v/>
      </c>
      <c r="N329" s="66" t="str">
        <f t="shared" si="19"/>
        <v/>
      </c>
      <c r="O329" s="66" t="str">
        <f>IF(K329="","",((K329*VLOOKUP(F329,Tabelle1!$A$2:$I$496,8,0))/$W$4))</f>
        <v/>
      </c>
      <c r="P329" s="76" t="str">
        <f>IF(K329="","",VLOOKUP(F329,Tabelle1!$A$2:$L$496,12,0))</f>
        <v/>
      </c>
    </row>
    <row r="330" spans="1:16">
      <c r="A330" s="67"/>
      <c r="B330" s="55"/>
      <c r="C330" s="55"/>
      <c r="D330" s="57" t="str">
        <f>IF(K330="","",VLOOKUP(F330,Tabelle1!$A$2:$C$496,3,0))</f>
        <v/>
      </c>
      <c r="E330" s="57" t="str">
        <f>IF(K330="","",VLOOKUP(F330,Tabelle1!$A$2:$M$496,13,0))</f>
        <v/>
      </c>
      <c r="F330" s="56"/>
      <c r="G330" s="57"/>
      <c r="H330" s="57"/>
      <c r="I330" s="57"/>
      <c r="J330" s="57"/>
      <c r="K330" s="57" t="str">
        <f t="shared" si="18"/>
        <v/>
      </c>
      <c r="L330" s="57" t="str">
        <f>IF(K330="","",VLOOKUP(F330,Tabelle1!$A$2:$I$496,9,0))</f>
        <v/>
      </c>
      <c r="M330" s="57" t="str">
        <f>IF(K330="","",VLOOKUP(F330,Tabelle1!$A$2:$G$496,7,0))</f>
        <v/>
      </c>
      <c r="N330" s="66" t="str">
        <f t="shared" si="19"/>
        <v/>
      </c>
      <c r="O330" s="66" t="str">
        <f>IF(K330="","",((K330*VLOOKUP(F330,Tabelle1!$A$2:$I$496,8,0))/$W$4))</f>
        <v/>
      </c>
      <c r="P330" s="76" t="str">
        <f>IF(K330="","",VLOOKUP(F330,Tabelle1!$A$2:$L$496,12,0))</f>
        <v/>
      </c>
    </row>
    <row r="331" spans="1:16">
      <c r="A331" s="67"/>
      <c r="B331" s="55"/>
      <c r="C331" s="55"/>
      <c r="D331" s="57" t="str">
        <f>IF(K331="","",VLOOKUP(F331,Tabelle1!$A$2:$C$496,3,0))</f>
        <v/>
      </c>
      <c r="E331" s="57" t="str">
        <f>IF(K331="","",VLOOKUP(F331,Tabelle1!$A$2:$M$496,13,0))</f>
        <v/>
      </c>
      <c r="F331" s="56"/>
      <c r="G331" s="57"/>
      <c r="H331" s="57"/>
      <c r="I331" s="57"/>
      <c r="J331" s="57"/>
      <c r="K331" s="57" t="str">
        <f t="shared" ref="K331:K394" si="20">IF(F331="","",C331*G331*H331)</f>
        <v/>
      </c>
      <c r="L331" s="57" t="str">
        <f>IF(K331="","",VLOOKUP(F331,Tabelle1!$A$2:$I$496,9,0))</f>
        <v/>
      </c>
      <c r="M331" s="57" t="str">
        <f>IF(K331="","",VLOOKUP(F331,Tabelle1!$A$2:$G$496,7,0))</f>
        <v/>
      </c>
      <c r="N331" s="66" t="str">
        <f t="shared" ref="N331:N394" si="21">IF(M331&gt;0,O331,"")</f>
        <v/>
      </c>
      <c r="O331" s="66" t="str">
        <f>IF(K331="","",((K331*VLOOKUP(F331,Tabelle1!$A$2:$I$496,8,0))/$W$4))</f>
        <v/>
      </c>
      <c r="P331" s="76" t="str">
        <f>IF(K331="","",VLOOKUP(F331,Tabelle1!$A$2:$L$496,12,0))</f>
        <v/>
      </c>
    </row>
    <row r="332" spans="1:16">
      <c r="A332" s="67"/>
      <c r="B332" s="55"/>
      <c r="C332" s="55"/>
      <c r="D332" s="57" t="str">
        <f>IF(K332="","",VLOOKUP(F332,Tabelle1!$A$2:$C$496,3,0))</f>
        <v/>
      </c>
      <c r="E332" s="57" t="str">
        <f>IF(K332="","",VLOOKUP(F332,Tabelle1!$A$2:$M$496,13,0))</f>
        <v/>
      </c>
      <c r="F332" s="56"/>
      <c r="G332" s="57"/>
      <c r="H332" s="57"/>
      <c r="I332" s="57"/>
      <c r="J332" s="57"/>
      <c r="K332" s="57" t="str">
        <f t="shared" si="20"/>
        <v/>
      </c>
      <c r="L332" s="57" t="str">
        <f>IF(K332="","",VLOOKUP(F332,Tabelle1!$A$2:$I$496,9,0))</f>
        <v/>
      </c>
      <c r="M332" s="57" t="str">
        <f>IF(K332="","",VLOOKUP(F332,Tabelle1!$A$2:$G$496,7,0))</f>
        <v/>
      </c>
      <c r="N332" s="66" t="str">
        <f t="shared" si="21"/>
        <v/>
      </c>
      <c r="O332" s="66" t="str">
        <f>IF(K332="","",((K332*VLOOKUP(F332,Tabelle1!$A$2:$I$496,8,0))/$W$4))</f>
        <v/>
      </c>
      <c r="P332" s="76" t="str">
        <f>IF(K332="","",VLOOKUP(F332,Tabelle1!$A$2:$L$496,12,0))</f>
        <v/>
      </c>
    </row>
    <row r="333" spans="1:16">
      <c r="A333" s="67"/>
      <c r="B333" s="55"/>
      <c r="C333" s="55"/>
      <c r="D333" s="57" t="str">
        <f>IF(K333="","",VLOOKUP(F333,Tabelle1!$A$2:$C$496,3,0))</f>
        <v/>
      </c>
      <c r="E333" s="57" t="str">
        <f>IF(K333="","",VLOOKUP(F333,Tabelle1!$A$2:$M$496,13,0))</f>
        <v/>
      </c>
      <c r="F333" s="56"/>
      <c r="G333" s="57"/>
      <c r="H333" s="57"/>
      <c r="I333" s="57"/>
      <c r="J333" s="57"/>
      <c r="K333" s="57" t="str">
        <f t="shared" si="20"/>
        <v/>
      </c>
      <c r="L333" s="57" t="str">
        <f>IF(K333="","",VLOOKUP(F333,Tabelle1!$A$2:$I$496,9,0))</f>
        <v/>
      </c>
      <c r="M333" s="57" t="str">
        <f>IF(K333="","",VLOOKUP(F333,Tabelle1!$A$2:$G$496,7,0))</f>
        <v/>
      </c>
      <c r="N333" s="66" t="str">
        <f t="shared" si="21"/>
        <v/>
      </c>
      <c r="O333" s="66" t="str">
        <f>IF(K333="","",((K333*VLOOKUP(F333,Tabelle1!$A$2:$I$496,8,0))/$W$4))</f>
        <v/>
      </c>
      <c r="P333" s="76" t="str">
        <f>IF(K333="","",VLOOKUP(F333,Tabelle1!$A$2:$L$496,12,0))</f>
        <v/>
      </c>
    </row>
    <row r="334" spans="1:16">
      <c r="A334" s="67"/>
      <c r="B334" s="55"/>
      <c r="C334" s="55"/>
      <c r="D334" s="57" t="str">
        <f>IF(K334="","",VLOOKUP(F334,Tabelle1!$A$2:$C$496,3,0))</f>
        <v/>
      </c>
      <c r="E334" s="57" t="str">
        <f>IF(K334="","",VLOOKUP(F334,Tabelle1!$A$2:$M$496,13,0))</f>
        <v/>
      </c>
      <c r="F334" s="56"/>
      <c r="G334" s="57"/>
      <c r="H334" s="57"/>
      <c r="I334" s="57"/>
      <c r="J334" s="57"/>
      <c r="K334" s="57" t="str">
        <f t="shared" si="20"/>
        <v/>
      </c>
      <c r="L334" s="57" t="str">
        <f>IF(K334="","",VLOOKUP(F334,Tabelle1!$A$2:$I$496,9,0))</f>
        <v/>
      </c>
      <c r="M334" s="57" t="str">
        <f>IF(K334="","",VLOOKUP(F334,Tabelle1!$A$2:$G$496,7,0))</f>
        <v/>
      </c>
      <c r="N334" s="66" t="str">
        <f t="shared" si="21"/>
        <v/>
      </c>
      <c r="O334" s="66" t="str">
        <f>IF(K334="","",((K334*VLOOKUP(F334,Tabelle1!$A$2:$I$496,8,0))/$W$4))</f>
        <v/>
      </c>
      <c r="P334" s="76" t="str">
        <f>IF(K334="","",VLOOKUP(F334,Tabelle1!$A$2:$L$496,12,0))</f>
        <v/>
      </c>
    </row>
    <row r="335" spans="1:16">
      <c r="A335" s="67"/>
      <c r="B335" s="55"/>
      <c r="C335" s="55"/>
      <c r="D335" s="57" t="str">
        <f>IF(K335="","",VLOOKUP(F335,Tabelle1!$A$2:$C$496,3,0))</f>
        <v/>
      </c>
      <c r="E335" s="57" t="str">
        <f>IF(K335="","",VLOOKUP(F335,Tabelle1!$A$2:$M$496,13,0))</f>
        <v/>
      </c>
      <c r="F335" s="56"/>
      <c r="G335" s="57"/>
      <c r="H335" s="57"/>
      <c r="I335" s="57"/>
      <c r="J335" s="57"/>
      <c r="K335" s="57" t="str">
        <f t="shared" si="20"/>
        <v/>
      </c>
      <c r="L335" s="57" t="str">
        <f>IF(K335="","",VLOOKUP(F335,Tabelle1!$A$2:$I$496,9,0))</f>
        <v/>
      </c>
      <c r="M335" s="57" t="str">
        <f>IF(K335="","",VLOOKUP(F335,Tabelle1!$A$2:$G$496,7,0))</f>
        <v/>
      </c>
      <c r="N335" s="66" t="str">
        <f t="shared" si="21"/>
        <v/>
      </c>
      <c r="O335" s="66" t="str">
        <f>IF(K335="","",((K335*VLOOKUP(F335,Tabelle1!$A$2:$I$496,8,0))/$W$4))</f>
        <v/>
      </c>
      <c r="P335" s="76" t="str">
        <f>IF(K335="","",VLOOKUP(F335,Tabelle1!$A$2:$L$496,12,0))</f>
        <v/>
      </c>
    </row>
    <row r="336" spans="1:16">
      <c r="A336" s="67"/>
      <c r="B336" s="55"/>
      <c r="C336" s="55"/>
      <c r="D336" s="57" t="str">
        <f>IF(K336="","",VLOOKUP(F336,Tabelle1!$A$2:$C$496,3,0))</f>
        <v/>
      </c>
      <c r="E336" s="57" t="str">
        <f>IF(K336="","",VLOOKUP(F336,Tabelle1!$A$2:$M$496,13,0))</f>
        <v/>
      </c>
      <c r="F336" s="56"/>
      <c r="G336" s="57"/>
      <c r="H336" s="57"/>
      <c r="I336" s="57"/>
      <c r="J336" s="57"/>
      <c r="K336" s="57" t="str">
        <f t="shared" si="20"/>
        <v/>
      </c>
      <c r="L336" s="57" t="str">
        <f>IF(K336="","",VLOOKUP(F336,Tabelle1!$A$2:$I$496,9,0))</f>
        <v/>
      </c>
      <c r="M336" s="57" t="str">
        <f>IF(K336="","",VLOOKUP(F336,Tabelle1!$A$2:$G$496,7,0))</f>
        <v/>
      </c>
      <c r="N336" s="66" t="str">
        <f t="shared" si="21"/>
        <v/>
      </c>
      <c r="O336" s="66" t="str">
        <f>IF(K336="","",((K336*VLOOKUP(F336,Tabelle1!$A$2:$I$496,8,0))/$W$4))</f>
        <v/>
      </c>
      <c r="P336" s="76" t="str">
        <f>IF(K336="","",VLOOKUP(F336,Tabelle1!$A$2:$L$496,12,0))</f>
        <v/>
      </c>
    </row>
    <row r="337" spans="1:16">
      <c r="A337" s="67"/>
      <c r="B337" s="55"/>
      <c r="C337" s="55"/>
      <c r="D337" s="57" t="str">
        <f>IF(K337="","",VLOOKUP(F337,Tabelle1!$A$2:$C$496,3,0))</f>
        <v/>
      </c>
      <c r="E337" s="57" t="str">
        <f>IF(K337="","",VLOOKUP(F337,Tabelle1!$A$2:$M$496,13,0))</f>
        <v/>
      </c>
      <c r="F337" s="56"/>
      <c r="G337" s="57"/>
      <c r="H337" s="57"/>
      <c r="I337" s="57"/>
      <c r="J337" s="57"/>
      <c r="K337" s="57" t="str">
        <f t="shared" si="20"/>
        <v/>
      </c>
      <c r="L337" s="57" t="str">
        <f>IF(K337="","",VLOOKUP(F337,Tabelle1!$A$2:$I$496,9,0))</f>
        <v/>
      </c>
      <c r="M337" s="57" t="str">
        <f>IF(K337="","",VLOOKUP(F337,Tabelle1!$A$2:$G$496,7,0))</f>
        <v/>
      </c>
      <c r="N337" s="66" t="str">
        <f t="shared" si="21"/>
        <v/>
      </c>
      <c r="O337" s="66" t="str">
        <f>IF(K337="","",((K337*VLOOKUP(F337,Tabelle1!$A$2:$I$496,8,0))/$W$4))</f>
        <v/>
      </c>
      <c r="P337" s="76" t="str">
        <f>IF(K337="","",VLOOKUP(F337,Tabelle1!$A$2:$L$496,12,0))</f>
        <v/>
      </c>
    </row>
    <row r="338" spans="1:16">
      <c r="A338" s="67"/>
      <c r="B338" s="55"/>
      <c r="C338" s="55"/>
      <c r="D338" s="57" t="str">
        <f>IF(K338="","",VLOOKUP(F338,Tabelle1!$A$2:$C$496,3,0))</f>
        <v/>
      </c>
      <c r="E338" s="57" t="str">
        <f>IF(K338="","",VLOOKUP(F338,Tabelle1!$A$2:$M$496,13,0))</f>
        <v/>
      </c>
      <c r="F338" s="56"/>
      <c r="G338" s="57"/>
      <c r="H338" s="57"/>
      <c r="I338" s="57"/>
      <c r="J338" s="57"/>
      <c r="K338" s="57" t="str">
        <f t="shared" si="20"/>
        <v/>
      </c>
      <c r="L338" s="57" t="str">
        <f>IF(K338="","",VLOOKUP(F338,Tabelle1!$A$2:$I$496,9,0))</f>
        <v/>
      </c>
      <c r="M338" s="57" t="str">
        <f>IF(K338="","",VLOOKUP(F338,Tabelle1!$A$2:$G$496,7,0))</f>
        <v/>
      </c>
      <c r="N338" s="66" t="str">
        <f t="shared" si="21"/>
        <v/>
      </c>
      <c r="O338" s="66" t="str">
        <f>IF(K338="","",((K338*VLOOKUP(F338,Tabelle1!$A$2:$I$496,8,0))/$W$4))</f>
        <v/>
      </c>
      <c r="P338" s="76" t="str">
        <f>IF(K338="","",VLOOKUP(F338,Tabelle1!$A$2:$L$496,12,0))</f>
        <v/>
      </c>
    </row>
    <row r="339" spans="1:16">
      <c r="A339" s="67"/>
      <c r="B339" s="55"/>
      <c r="C339" s="55"/>
      <c r="D339" s="57" t="str">
        <f>IF(K339="","",VLOOKUP(F339,Tabelle1!$A$2:$C$496,3,0))</f>
        <v/>
      </c>
      <c r="E339" s="57" t="str">
        <f>IF(K339="","",VLOOKUP(F339,Tabelle1!$A$2:$M$496,13,0))</f>
        <v/>
      </c>
      <c r="F339" s="56"/>
      <c r="G339" s="57"/>
      <c r="H339" s="57"/>
      <c r="I339" s="57"/>
      <c r="J339" s="57"/>
      <c r="K339" s="57" t="str">
        <f t="shared" si="20"/>
        <v/>
      </c>
      <c r="L339" s="57" t="str">
        <f>IF(K339="","",VLOOKUP(F339,Tabelle1!$A$2:$I$496,9,0))</f>
        <v/>
      </c>
      <c r="M339" s="57" t="str">
        <f>IF(K339="","",VLOOKUP(F339,Tabelle1!$A$2:$G$496,7,0))</f>
        <v/>
      </c>
      <c r="N339" s="66" t="str">
        <f t="shared" si="21"/>
        <v/>
      </c>
      <c r="O339" s="66" t="str">
        <f>IF(K339="","",((K339*VLOOKUP(F339,Tabelle1!$A$2:$I$496,8,0))/$W$4))</f>
        <v/>
      </c>
      <c r="P339" s="76" t="str">
        <f>IF(K339="","",VLOOKUP(F339,Tabelle1!$A$2:$L$496,12,0))</f>
        <v/>
      </c>
    </row>
    <row r="340" spans="1:16">
      <c r="A340" s="67"/>
      <c r="B340" s="55"/>
      <c r="C340" s="55"/>
      <c r="D340" s="57" t="str">
        <f>IF(K340="","",VLOOKUP(F340,Tabelle1!$A$2:$C$496,3,0))</f>
        <v/>
      </c>
      <c r="E340" s="57" t="str">
        <f>IF(K340="","",VLOOKUP(F340,Tabelle1!$A$2:$M$496,13,0))</f>
        <v/>
      </c>
      <c r="F340" s="56"/>
      <c r="G340" s="57"/>
      <c r="H340" s="57"/>
      <c r="I340" s="57"/>
      <c r="J340" s="57"/>
      <c r="K340" s="57" t="str">
        <f t="shared" si="20"/>
        <v/>
      </c>
      <c r="L340" s="57" t="str">
        <f>IF(K340="","",VLOOKUP(F340,Tabelle1!$A$2:$I$496,9,0))</f>
        <v/>
      </c>
      <c r="M340" s="57" t="str">
        <f>IF(K340="","",VLOOKUP(F340,Tabelle1!$A$2:$G$496,7,0))</f>
        <v/>
      </c>
      <c r="N340" s="66" t="str">
        <f t="shared" si="21"/>
        <v/>
      </c>
      <c r="O340" s="66" t="str">
        <f>IF(K340="","",((K340*VLOOKUP(F340,Tabelle1!$A$2:$I$496,8,0))/$W$4))</f>
        <v/>
      </c>
      <c r="P340" s="76" t="str">
        <f>IF(K340="","",VLOOKUP(F340,Tabelle1!$A$2:$L$496,12,0))</f>
        <v/>
      </c>
    </row>
    <row r="341" spans="1:16">
      <c r="A341" s="67"/>
      <c r="B341" s="55"/>
      <c r="C341" s="55"/>
      <c r="D341" s="57" t="str">
        <f>IF(K341="","",VLOOKUP(F341,Tabelle1!$A$2:$C$496,3,0))</f>
        <v/>
      </c>
      <c r="E341" s="57" t="str">
        <f>IF(K341="","",VLOOKUP(F341,Tabelle1!$A$2:$M$496,13,0))</f>
        <v/>
      </c>
      <c r="F341" s="56"/>
      <c r="G341" s="57"/>
      <c r="H341" s="57"/>
      <c r="I341" s="57"/>
      <c r="J341" s="57"/>
      <c r="K341" s="57" t="str">
        <f t="shared" si="20"/>
        <v/>
      </c>
      <c r="L341" s="57" t="str">
        <f>IF(K341="","",VLOOKUP(F341,Tabelle1!$A$2:$I$496,9,0))</f>
        <v/>
      </c>
      <c r="M341" s="57" t="str">
        <f>IF(K341="","",VLOOKUP(F341,Tabelle1!$A$2:$G$496,7,0))</f>
        <v/>
      </c>
      <c r="N341" s="66" t="str">
        <f t="shared" si="21"/>
        <v/>
      </c>
      <c r="O341" s="66" t="str">
        <f>IF(K341="","",((K341*VLOOKUP(F341,Tabelle1!$A$2:$I$496,8,0))/$W$4))</f>
        <v/>
      </c>
      <c r="P341" s="76" t="str">
        <f>IF(K341="","",VLOOKUP(F341,Tabelle1!$A$2:$L$496,12,0))</f>
        <v/>
      </c>
    </row>
    <row r="342" spans="1:16">
      <c r="A342" s="67"/>
      <c r="B342" s="55"/>
      <c r="C342" s="55"/>
      <c r="D342" s="57" t="str">
        <f>IF(K342="","",VLOOKUP(F342,Tabelle1!$A$2:$C$496,3,0))</f>
        <v/>
      </c>
      <c r="E342" s="57" t="str">
        <f>IF(K342="","",VLOOKUP(F342,Tabelle1!$A$2:$M$496,13,0))</f>
        <v/>
      </c>
      <c r="F342" s="56"/>
      <c r="G342" s="57"/>
      <c r="H342" s="57"/>
      <c r="I342" s="57"/>
      <c r="J342" s="57"/>
      <c r="K342" s="57" t="str">
        <f t="shared" si="20"/>
        <v/>
      </c>
      <c r="L342" s="57" t="str">
        <f>IF(K342="","",VLOOKUP(F342,Tabelle1!$A$2:$I$496,9,0))</f>
        <v/>
      </c>
      <c r="M342" s="57" t="str">
        <f>IF(K342="","",VLOOKUP(F342,Tabelle1!$A$2:$G$496,7,0))</f>
        <v/>
      </c>
      <c r="N342" s="66" t="str">
        <f t="shared" si="21"/>
        <v/>
      </c>
      <c r="O342" s="66" t="str">
        <f>IF(K342="","",((K342*VLOOKUP(F342,Tabelle1!$A$2:$I$496,8,0))/$W$4))</f>
        <v/>
      </c>
      <c r="P342" s="76" t="str">
        <f>IF(K342="","",VLOOKUP(F342,Tabelle1!$A$2:$L$496,12,0))</f>
        <v/>
      </c>
    </row>
    <row r="343" spans="1:16">
      <c r="A343" s="67"/>
      <c r="B343" s="55"/>
      <c r="C343" s="55"/>
      <c r="D343" s="57" t="str">
        <f>IF(K343="","",VLOOKUP(F343,Tabelle1!$A$2:$C$496,3,0))</f>
        <v/>
      </c>
      <c r="E343" s="57" t="str">
        <f>IF(K343="","",VLOOKUP(F343,Tabelle1!$A$2:$M$496,13,0))</f>
        <v/>
      </c>
      <c r="F343" s="56"/>
      <c r="G343" s="57"/>
      <c r="H343" s="57"/>
      <c r="I343" s="57"/>
      <c r="J343" s="57"/>
      <c r="K343" s="57" t="str">
        <f t="shared" si="20"/>
        <v/>
      </c>
      <c r="L343" s="57" t="str">
        <f>IF(K343="","",VLOOKUP(F343,Tabelle1!$A$2:$I$496,9,0))</f>
        <v/>
      </c>
      <c r="M343" s="57" t="str">
        <f>IF(K343="","",VLOOKUP(F343,Tabelle1!$A$2:$G$496,7,0))</f>
        <v/>
      </c>
      <c r="N343" s="66" t="str">
        <f t="shared" si="21"/>
        <v/>
      </c>
      <c r="O343" s="66" t="str">
        <f>IF(K343="","",((K343*VLOOKUP(F343,Tabelle1!$A$2:$I$496,8,0))/$W$4))</f>
        <v/>
      </c>
      <c r="P343" s="76" t="str">
        <f>IF(K343="","",VLOOKUP(F343,Tabelle1!$A$2:$L$496,12,0))</f>
        <v/>
      </c>
    </row>
    <row r="344" spans="1:16">
      <c r="A344" s="67"/>
      <c r="B344" s="55"/>
      <c r="C344" s="55"/>
      <c r="D344" s="57" t="str">
        <f>IF(K344="","",VLOOKUP(F344,Tabelle1!$A$2:$C$496,3,0))</f>
        <v/>
      </c>
      <c r="E344" s="57" t="str">
        <f>IF(K344="","",VLOOKUP(F344,Tabelle1!$A$2:$M$496,13,0))</f>
        <v/>
      </c>
      <c r="F344" s="56"/>
      <c r="G344" s="57"/>
      <c r="H344" s="57"/>
      <c r="I344" s="57"/>
      <c r="J344" s="57"/>
      <c r="K344" s="57" t="str">
        <f t="shared" si="20"/>
        <v/>
      </c>
      <c r="L344" s="57" t="str">
        <f>IF(K344="","",VLOOKUP(F344,Tabelle1!$A$2:$I$496,9,0))</f>
        <v/>
      </c>
      <c r="M344" s="57" t="str">
        <f>IF(K344="","",VLOOKUP(F344,Tabelle1!$A$2:$G$496,7,0))</f>
        <v/>
      </c>
      <c r="N344" s="66" t="str">
        <f t="shared" si="21"/>
        <v/>
      </c>
      <c r="O344" s="66" t="str">
        <f>IF(K344="","",((K344*VLOOKUP(F344,Tabelle1!$A$2:$I$496,8,0))/$W$4))</f>
        <v/>
      </c>
      <c r="P344" s="76" t="str">
        <f>IF(K344="","",VLOOKUP(F344,Tabelle1!$A$2:$L$496,12,0))</f>
        <v/>
      </c>
    </row>
    <row r="345" spans="1:16">
      <c r="A345" s="67"/>
      <c r="B345" s="55"/>
      <c r="C345" s="55"/>
      <c r="D345" s="57" t="str">
        <f>IF(K345="","",VLOOKUP(F345,Tabelle1!$A$2:$C$496,3,0))</f>
        <v/>
      </c>
      <c r="E345" s="57" t="str">
        <f>IF(K345="","",VLOOKUP(F345,Tabelle1!$A$2:$M$496,13,0))</f>
        <v/>
      </c>
      <c r="F345" s="56"/>
      <c r="G345" s="57"/>
      <c r="H345" s="57"/>
      <c r="I345" s="57"/>
      <c r="J345" s="57"/>
      <c r="K345" s="57" t="str">
        <f t="shared" si="20"/>
        <v/>
      </c>
      <c r="L345" s="57" t="str">
        <f>IF(K345="","",VLOOKUP(F345,Tabelle1!$A$2:$I$496,9,0))</f>
        <v/>
      </c>
      <c r="M345" s="57" t="str">
        <f>IF(K345="","",VLOOKUP(F345,Tabelle1!$A$2:$G$496,7,0))</f>
        <v/>
      </c>
      <c r="N345" s="66" t="str">
        <f t="shared" si="21"/>
        <v/>
      </c>
      <c r="O345" s="66" t="str">
        <f>IF(K345="","",((K345*VLOOKUP(F345,Tabelle1!$A$2:$I$496,8,0))/$W$4))</f>
        <v/>
      </c>
      <c r="P345" s="76" t="str">
        <f>IF(K345="","",VLOOKUP(F345,Tabelle1!$A$2:$L$496,12,0))</f>
        <v/>
      </c>
    </row>
    <row r="346" spans="1:16">
      <c r="A346" s="67"/>
      <c r="B346" s="55"/>
      <c r="C346" s="55"/>
      <c r="D346" s="57" t="str">
        <f>IF(K346="","",VLOOKUP(F346,Tabelle1!$A$2:$C$496,3,0))</f>
        <v/>
      </c>
      <c r="E346" s="57" t="str">
        <f>IF(K346="","",VLOOKUP(F346,Tabelle1!$A$2:$M$496,13,0))</f>
        <v/>
      </c>
      <c r="F346" s="56"/>
      <c r="G346" s="57"/>
      <c r="H346" s="57"/>
      <c r="I346" s="57"/>
      <c r="J346" s="57"/>
      <c r="K346" s="57" t="str">
        <f t="shared" si="20"/>
        <v/>
      </c>
      <c r="L346" s="57" t="str">
        <f>IF(K346="","",VLOOKUP(F346,Tabelle1!$A$2:$I$496,9,0))</f>
        <v/>
      </c>
      <c r="M346" s="57" t="str">
        <f>IF(K346="","",VLOOKUP(F346,Tabelle1!$A$2:$G$496,7,0))</f>
        <v/>
      </c>
      <c r="N346" s="66" t="str">
        <f t="shared" si="21"/>
        <v/>
      </c>
      <c r="O346" s="66" t="str">
        <f>IF(K346="","",((K346*VLOOKUP(F346,Tabelle1!$A$2:$I$496,8,0))/$W$4))</f>
        <v/>
      </c>
      <c r="P346" s="76" t="str">
        <f>IF(K346="","",VLOOKUP(F346,Tabelle1!$A$2:$L$496,12,0))</f>
        <v/>
      </c>
    </row>
    <row r="347" spans="1:16">
      <c r="A347" s="67"/>
      <c r="B347" s="55"/>
      <c r="C347" s="55"/>
      <c r="D347" s="57" t="str">
        <f>IF(K347="","",VLOOKUP(F347,Tabelle1!$A$2:$C$496,3,0))</f>
        <v/>
      </c>
      <c r="E347" s="57" t="str">
        <f>IF(K347="","",VLOOKUP(F347,Tabelle1!$A$2:$M$496,13,0))</f>
        <v/>
      </c>
      <c r="F347" s="56"/>
      <c r="G347" s="57"/>
      <c r="H347" s="57"/>
      <c r="I347" s="57"/>
      <c r="J347" s="57"/>
      <c r="K347" s="57" t="str">
        <f t="shared" si="20"/>
        <v/>
      </c>
      <c r="L347" s="57" t="str">
        <f>IF(K347="","",VLOOKUP(F347,Tabelle1!$A$2:$I$496,9,0))</f>
        <v/>
      </c>
      <c r="M347" s="57" t="str">
        <f>IF(K347="","",VLOOKUP(F347,Tabelle1!$A$2:$G$496,7,0))</f>
        <v/>
      </c>
      <c r="N347" s="66" t="str">
        <f t="shared" si="21"/>
        <v/>
      </c>
      <c r="O347" s="66" t="str">
        <f>IF(K347="","",((K347*VLOOKUP(F347,Tabelle1!$A$2:$I$496,8,0))/$W$4))</f>
        <v/>
      </c>
      <c r="P347" s="76" t="str">
        <f>IF(K347="","",VLOOKUP(F347,Tabelle1!$A$2:$L$496,12,0))</f>
        <v/>
      </c>
    </row>
    <row r="348" spans="1:16">
      <c r="A348" s="67"/>
      <c r="B348" s="55"/>
      <c r="C348" s="55"/>
      <c r="D348" s="57" t="str">
        <f>IF(K348="","",VLOOKUP(F348,Tabelle1!$A$2:$C$496,3,0))</f>
        <v/>
      </c>
      <c r="E348" s="57" t="str">
        <f>IF(K348="","",VLOOKUP(F348,Tabelle1!$A$2:$M$496,13,0))</f>
        <v/>
      </c>
      <c r="F348" s="56"/>
      <c r="G348" s="57"/>
      <c r="H348" s="57"/>
      <c r="I348" s="57"/>
      <c r="J348" s="57"/>
      <c r="K348" s="57" t="str">
        <f t="shared" si="20"/>
        <v/>
      </c>
      <c r="L348" s="57" t="str">
        <f>IF(K348="","",VLOOKUP(F348,Tabelle1!$A$2:$I$496,9,0))</f>
        <v/>
      </c>
      <c r="M348" s="57" t="str">
        <f>IF(K348="","",VLOOKUP(F348,Tabelle1!$A$2:$G$496,7,0))</f>
        <v/>
      </c>
      <c r="N348" s="66" t="str">
        <f t="shared" si="21"/>
        <v/>
      </c>
      <c r="O348" s="66" t="str">
        <f>IF(K348="","",((K348*VLOOKUP(F348,Tabelle1!$A$2:$I$496,8,0))/$W$4))</f>
        <v/>
      </c>
      <c r="P348" s="76" t="str">
        <f>IF(K348="","",VLOOKUP(F348,Tabelle1!$A$2:$L$496,12,0))</f>
        <v/>
      </c>
    </row>
    <row r="349" spans="1:16">
      <c r="A349" s="67"/>
      <c r="B349" s="55"/>
      <c r="C349" s="55"/>
      <c r="D349" s="57" t="str">
        <f>IF(K349="","",VLOOKUP(F349,Tabelle1!$A$2:$C$496,3,0))</f>
        <v/>
      </c>
      <c r="E349" s="57" t="str">
        <f>IF(K349="","",VLOOKUP(F349,Tabelle1!$A$2:$M$496,13,0))</f>
        <v/>
      </c>
      <c r="F349" s="56"/>
      <c r="G349" s="57"/>
      <c r="H349" s="57"/>
      <c r="I349" s="57"/>
      <c r="J349" s="57"/>
      <c r="K349" s="57" t="str">
        <f t="shared" si="20"/>
        <v/>
      </c>
      <c r="L349" s="57" t="str">
        <f>IF(K349="","",VLOOKUP(F349,Tabelle1!$A$2:$I$496,9,0))</f>
        <v/>
      </c>
      <c r="M349" s="57" t="str">
        <f>IF(K349="","",VLOOKUP(F349,Tabelle1!$A$2:$G$496,7,0))</f>
        <v/>
      </c>
      <c r="N349" s="66" t="str">
        <f t="shared" si="21"/>
        <v/>
      </c>
      <c r="O349" s="66" t="str">
        <f>IF(K349="","",((K349*VLOOKUP(F349,Tabelle1!$A$2:$I$496,8,0))/$W$4))</f>
        <v/>
      </c>
      <c r="P349" s="76" t="str">
        <f>IF(K349="","",VLOOKUP(F349,Tabelle1!$A$2:$L$496,12,0))</f>
        <v/>
      </c>
    </row>
    <row r="350" spans="1:16">
      <c r="A350" s="67"/>
      <c r="B350" s="55"/>
      <c r="C350" s="55"/>
      <c r="D350" s="57" t="str">
        <f>IF(K350="","",VLOOKUP(F350,Tabelle1!$A$2:$C$496,3,0))</f>
        <v/>
      </c>
      <c r="E350" s="57" t="str">
        <f>IF(K350="","",VLOOKUP(F350,Tabelle1!$A$2:$M$496,13,0))</f>
        <v/>
      </c>
      <c r="F350" s="56"/>
      <c r="G350" s="57"/>
      <c r="H350" s="57"/>
      <c r="I350" s="57"/>
      <c r="J350" s="57"/>
      <c r="K350" s="57" t="str">
        <f t="shared" si="20"/>
        <v/>
      </c>
      <c r="L350" s="57" t="str">
        <f>IF(K350="","",VLOOKUP(F350,Tabelle1!$A$2:$I$496,9,0))</f>
        <v/>
      </c>
      <c r="M350" s="57" t="str">
        <f>IF(K350="","",VLOOKUP(F350,Tabelle1!$A$2:$G$496,7,0))</f>
        <v/>
      </c>
      <c r="N350" s="66" t="str">
        <f t="shared" si="21"/>
        <v/>
      </c>
      <c r="O350" s="66" t="str">
        <f>IF(K350="","",((K350*VLOOKUP(F350,Tabelle1!$A$2:$I$496,8,0))/$W$4))</f>
        <v/>
      </c>
      <c r="P350" s="76" t="str">
        <f>IF(K350="","",VLOOKUP(F350,Tabelle1!$A$2:$L$496,12,0))</f>
        <v/>
      </c>
    </row>
    <row r="351" spans="1:16">
      <c r="A351" s="67"/>
      <c r="B351" s="55"/>
      <c r="C351" s="55"/>
      <c r="D351" s="57" t="str">
        <f>IF(K351="","",VLOOKUP(F351,Tabelle1!$A$2:$C$496,3,0))</f>
        <v/>
      </c>
      <c r="E351" s="57" t="str">
        <f>IF(K351="","",VLOOKUP(F351,Tabelle1!$A$2:$M$496,13,0))</f>
        <v/>
      </c>
      <c r="F351" s="56"/>
      <c r="G351" s="57"/>
      <c r="H351" s="57"/>
      <c r="I351" s="57"/>
      <c r="J351" s="57"/>
      <c r="K351" s="57" t="str">
        <f t="shared" si="20"/>
        <v/>
      </c>
      <c r="L351" s="57" t="str">
        <f>IF(K351="","",VLOOKUP(F351,Tabelle1!$A$2:$I$496,9,0))</f>
        <v/>
      </c>
      <c r="M351" s="57" t="str">
        <f>IF(K351="","",VLOOKUP(F351,Tabelle1!$A$2:$G$496,7,0))</f>
        <v/>
      </c>
      <c r="N351" s="66" t="str">
        <f t="shared" si="21"/>
        <v/>
      </c>
      <c r="O351" s="66" t="str">
        <f>IF(K351="","",((K351*VLOOKUP(F351,Tabelle1!$A$2:$I$496,8,0))/$W$4))</f>
        <v/>
      </c>
      <c r="P351" s="76" t="str">
        <f>IF(K351="","",VLOOKUP(F351,Tabelle1!$A$2:$L$496,12,0))</f>
        <v/>
      </c>
    </row>
    <row r="352" spans="1:16">
      <c r="A352" s="67"/>
      <c r="B352" s="55"/>
      <c r="C352" s="55"/>
      <c r="D352" s="57" t="str">
        <f>IF(K352="","",VLOOKUP(F352,Tabelle1!$A$2:$C$496,3,0))</f>
        <v/>
      </c>
      <c r="E352" s="57" t="str">
        <f>IF(K352="","",VLOOKUP(F352,Tabelle1!$A$2:$M$496,13,0))</f>
        <v/>
      </c>
      <c r="F352" s="56"/>
      <c r="G352" s="57"/>
      <c r="H352" s="57"/>
      <c r="I352" s="57"/>
      <c r="J352" s="57"/>
      <c r="K352" s="57" t="str">
        <f t="shared" si="20"/>
        <v/>
      </c>
      <c r="L352" s="57" t="str">
        <f>IF(K352="","",VLOOKUP(F352,Tabelle1!$A$2:$I$496,9,0))</f>
        <v/>
      </c>
      <c r="M352" s="57" t="str">
        <f>IF(K352="","",VLOOKUP(F352,Tabelle1!$A$2:$G$496,7,0))</f>
        <v/>
      </c>
      <c r="N352" s="66" t="str">
        <f t="shared" si="21"/>
        <v/>
      </c>
      <c r="O352" s="66" t="str">
        <f>IF(K352="","",((K352*VLOOKUP(F352,Tabelle1!$A$2:$I$496,8,0))/$W$4))</f>
        <v/>
      </c>
      <c r="P352" s="76" t="str">
        <f>IF(K352="","",VLOOKUP(F352,Tabelle1!$A$2:$L$496,12,0))</f>
        <v/>
      </c>
    </row>
    <row r="353" spans="1:16">
      <c r="A353" s="67"/>
      <c r="B353" s="55"/>
      <c r="C353" s="55"/>
      <c r="D353" s="57" t="str">
        <f>IF(K353="","",VLOOKUP(F353,Tabelle1!$A$2:$C$496,3,0))</f>
        <v/>
      </c>
      <c r="E353" s="57" t="str">
        <f>IF(K353="","",VLOOKUP(F353,Tabelle1!$A$2:$M$496,13,0))</f>
        <v/>
      </c>
      <c r="F353" s="56"/>
      <c r="G353" s="57"/>
      <c r="H353" s="57"/>
      <c r="I353" s="57"/>
      <c r="J353" s="57"/>
      <c r="K353" s="57" t="str">
        <f t="shared" si="20"/>
        <v/>
      </c>
      <c r="L353" s="57" t="str">
        <f>IF(K353="","",VLOOKUP(F353,Tabelle1!$A$2:$I$496,9,0))</f>
        <v/>
      </c>
      <c r="M353" s="57" t="str">
        <f>IF(K353="","",VLOOKUP(F353,Tabelle1!$A$2:$G$496,7,0))</f>
        <v/>
      </c>
      <c r="N353" s="66" t="str">
        <f t="shared" si="21"/>
        <v/>
      </c>
      <c r="O353" s="66" t="str">
        <f>IF(K353="","",((K353*VLOOKUP(F353,Tabelle1!$A$2:$I$496,8,0))/$W$4))</f>
        <v/>
      </c>
      <c r="P353" s="76" t="str">
        <f>IF(K353="","",VLOOKUP(F353,Tabelle1!$A$2:$L$496,12,0))</f>
        <v/>
      </c>
    </row>
    <row r="354" spans="1:16">
      <c r="A354" s="67"/>
      <c r="B354" s="55"/>
      <c r="C354" s="55"/>
      <c r="D354" s="57" t="str">
        <f>IF(K354="","",VLOOKUP(F354,Tabelle1!$A$2:$C$496,3,0))</f>
        <v/>
      </c>
      <c r="E354" s="57" t="str">
        <f>IF(K354="","",VLOOKUP(F354,Tabelle1!$A$2:$M$496,13,0))</f>
        <v/>
      </c>
      <c r="F354" s="56"/>
      <c r="G354" s="57"/>
      <c r="H354" s="57"/>
      <c r="I354" s="57"/>
      <c r="J354" s="57"/>
      <c r="K354" s="57" t="str">
        <f t="shared" si="20"/>
        <v/>
      </c>
      <c r="L354" s="57" t="str">
        <f>IF(K354="","",VLOOKUP(F354,Tabelle1!$A$2:$I$496,9,0))</f>
        <v/>
      </c>
      <c r="M354" s="57" t="str">
        <f>IF(K354="","",VLOOKUP(F354,Tabelle1!$A$2:$G$496,7,0))</f>
        <v/>
      </c>
      <c r="N354" s="66" t="str">
        <f t="shared" si="21"/>
        <v/>
      </c>
      <c r="O354" s="66" t="str">
        <f>IF(K354="","",((K354*VLOOKUP(F354,Tabelle1!$A$2:$I$496,8,0))/$W$4))</f>
        <v/>
      </c>
      <c r="P354" s="76" t="str">
        <f>IF(K354="","",VLOOKUP(F354,Tabelle1!$A$2:$L$496,12,0))</f>
        <v/>
      </c>
    </row>
    <row r="355" spans="1:16">
      <c r="A355" s="67"/>
      <c r="B355" s="55"/>
      <c r="C355" s="55"/>
      <c r="D355" s="57" t="str">
        <f>IF(K355="","",VLOOKUP(F355,Tabelle1!$A$2:$C$496,3,0))</f>
        <v/>
      </c>
      <c r="E355" s="57" t="str">
        <f>IF(K355="","",VLOOKUP(F355,Tabelle1!$A$2:$M$496,13,0))</f>
        <v/>
      </c>
      <c r="F355" s="56"/>
      <c r="G355" s="57"/>
      <c r="H355" s="57"/>
      <c r="I355" s="57"/>
      <c r="J355" s="57"/>
      <c r="K355" s="57" t="str">
        <f t="shared" si="20"/>
        <v/>
      </c>
      <c r="L355" s="57" t="str">
        <f>IF(K355="","",VLOOKUP(F355,Tabelle1!$A$2:$I$496,9,0))</f>
        <v/>
      </c>
      <c r="M355" s="57" t="str">
        <f>IF(K355="","",VLOOKUP(F355,Tabelle1!$A$2:$G$496,7,0))</f>
        <v/>
      </c>
      <c r="N355" s="66" t="str">
        <f t="shared" si="21"/>
        <v/>
      </c>
      <c r="O355" s="66" t="str">
        <f>IF(K355="","",((K355*VLOOKUP(F355,Tabelle1!$A$2:$I$496,8,0))/$W$4))</f>
        <v/>
      </c>
      <c r="P355" s="76" t="str">
        <f>IF(K355="","",VLOOKUP(F355,Tabelle1!$A$2:$L$496,12,0))</f>
        <v/>
      </c>
    </row>
    <row r="356" spans="1:16">
      <c r="A356" s="67"/>
      <c r="B356" s="55"/>
      <c r="C356" s="55"/>
      <c r="D356" s="57" t="str">
        <f>IF(K356="","",VLOOKUP(F356,Tabelle1!$A$2:$C$496,3,0))</f>
        <v/>
      </c>
      <c r="E356" s="57" t="str">
        <f>IF(K356="","",VLOOKUP(F356,Tabelle1!$A$2:$M$496,13,0))</f>
        <v/>
      </c>
      <c r="F356" s="56"/>
      <c r="G356" s="57"/>
      <c r="H356" s="57"/>
      <c r="I356" s="57"/>
      <c r="J356" s="57"/>
      <c r="K356" s="57" t="str">
        <f t="shared" si="20"/>
        <v/>
      </c>
      <c r="L356" s="57" t="str">
        <f>IF(K356="","",VLOOKUP(F356,Tabelle1!$A$2:$I$496,9,0))</f>
        <v/>
      </c>
      <c r="M356" s="57" t="str">
        <f>IF(K356="","",VLOOKUP(F356,Tabelle1!$A$2:$G$496,7,0))</f>
        <v/>
      </c>
      <c r="N356" s="66" t="str">
        <f t="shared" si="21"/>
        <v/>
      </c>
      <c r="O356" s="66" t="str">
        <f>IF(K356="","",((K356*VLOOKUP(F356,Tabelle1!$A$2:$I$496,8,0))/$W$4))</f>
        <v/>
      </c>
      <c r="P356" s="76" t="str">
        <f>IF(K356="","",VLOOKUP(F356,Tabelle1!$A$2:$L$496,12,0))</f>
        <v/>
      </c>
    </row>
    <row r="357" spans="1:16">
      <c r="A357" s="67"/>
      <c r="B357" s="55"/>
      <c r="C357" s="55"/>
      <c r="D357" s="57" t="str">
        <f>IF(K357="","",VLOOKUP(F357,Tabelle1!$A$2:$C$496,3,0))</f>
        <v/>
      </c>
      <c r="E357" s="57" t="str">
        <f>IF(K357="","",VLOOKUP(F357,Tabelle1!$A$2:$M$496,13,0))</f>
        <v/>
      </c>
      <c r="F357" s="56"/>
      <c r="G357" s="57"/>
      <c r="H357" s="57"/>
      <c r="I357" s="57"/>
      <c r="J357" s="57"/>
      <c r="K357" s="57" t="str">
        <f t="shared" si="20"/>
        <v/>
      </c>
      <c r="L357" s="57" t="str">
        <f>IF(K357="","",VLOOKUP(F357,Tabelle1!$A$2:$I$496,9,0))</f>
        <v/>
      </c>
      <c r="M357" s="57" t="str">
        <f>IF(K357="","",VLOOKUP(F357,Tabelle1!$A$2:$G$496,7,0))</f>
        <v/>
      </c>
      <c r="N357" s="66" t="str">
        <f t="shared" si="21"/>
        <v/>
      </c>
      <c r="O357" s="66" t="str">
        <f>IF(K357="","",((K357*VLOOKUP(F357,Tabelle1!$A$2:$I$496,8,0))/$W$4))</f>
        <v/>
      </c>
      <c r="P357" s="76" t="str">
        <f>IF(K357="","",VLOOKUP(F357,Tabelle1!$A$2:$L$496,12,0))</f>
        <v/>
      </c>
    </row>
    <row r="358" spans="1:16">
      <c r="A358" s="67"/>
      <c r="B358" s="55"/>
      <c r="C358" s="55"/>
      <c r="D358" s="57" t="str">
        <f>IF(K358="","",VLOOKUP(F358,Tabelle1!$A$2:$C$496,3,0))</f>
        <v/>
      </c>
      <c r="E358" s="57" t="str">
        <f>IF(K358="","",VLOOKUP(F358,Tabelle1!$A$2:$M$496,13,0))</f>
        <v/>
      </c>
      <c r="F358" s="56"/>
      <c r="G358" s="57"/>
      <c r="H358" s="57"/>
      <c r="I358" s="57"/>
      <c r="J358" s="57"/>
      <c r="K358" s="57" t="str">
        <f t="shared" si="20"/>
        <v/>
      </c>
      <c r="L358" s="57" t="str">
        <f>IF(K358="","",VLOOKUP(F358,Tabelle1!$A$2:$I$496,9,0))</f>
        <v/>
      </c>
      <c r="M358" s="57" t="str">
        <f>IF(K358="","",VLOOKUP(F358,Tabelle1!$A$2:$G$496,7,0))</f>
        <v/>
      </c>
      <c r="N358" s="66" t="str">
        <f t="shared" si="21"/>
        <v/>
      </c>
      <c r="O358" s="66" t="str">
        <f>IF(K358="","",((K358*VLOOKUP(F358,Tabelle1!$A$2:$I$496,8,0))/$W$4))</f>
        <v/>
      </c>
      <c r="P358" s="76" t="str">
        <f>IF(K358="","",VLOOKUP(F358,Tabelle1!$A$2:$L$496,12,0))</f>
        <v/>
      </c>
    </row>
    <row r="359" spans="1:16">
      <c r="A359" s="67"/>
      <c r="B359" s="55"/>
      <c r="C359" s="55"/>
      <c r="D359" s="57" t="str">
        <f>IF(K359="","",VLOOKUP(F359,Tabelle1!$A$2:$C$496,3,0))</f>
        <v/>
      </c>
      <c r="E359" s="57" t="str">
        <f>IF(K359="","",VLOOKUP(F359,Tabelle1!$A$2:$M$496,13,0))</f>
        <v/>
      </c>
      <c r="F359" s="56"/>
      <c r="G359" s="57"/>
      <c r="H359" s="57"/>
      <c r="I359" s="57"/>
      <c r="J359" s="57"/>
      <c r="K359" s="57" t="str">
        <f t="shared" si="20"/>
        <v/>
      </c>
      <c r="L359" s="57" t="str">
        <f>IF(K359="","",VLOOKUP(F359,Tabelle1!$A$2:$I$496,9,0))</f>
        <v/>
      </c>
      <c r="M359" s="57" t="str">
        <f>IF(K359="","",VLOOKUP(F359,Tabelle1!$A$2:$G$496,7,0))</f>
        <v/>
      </c>
      <c r="N359" s="66" t="str">
        <f t="shared" si="21"/>
        <v/>
      </c>
      <c r="O359" s="66" t="str">
        <f>IF(K359="","",((K359*VLOOKUP(F359,Tabelle1!$A$2:$I$496,8,0))/$W$4))</f>
        <v/>
      </c>
      <c r="P359" s="76" t="str">
        <f>IF(K359="","",VLOOKUP(F359,Tabelle1!$A$2:$L$496,12,0))</f>
        <v/>
      </c>
    </row>
    <row r="360" spans="1:16">
      <c r="A360" s="67"/>
      <c r="B360" s="55"/>
      <c r="C360" s="55"/>
      <c r="D360" s="57" t="str">
        <f>IF(K360="","",VLOOKUP(F360,Tabelle1!$A$2:$C$496,3,0))</f>
        <v/>
      </c>
      <c r="E360" s="57" t="str">
        <f>IF(K360="","",VLOOKUP(F360,Tabelle1!$A$2:$M$496,13,0))</f>
        <v/>
      </c>
      <c r="F360" s="56"/>
      <c r="G360" s="57"/>
      <c r="H360" s="57"/>
      <c r="I360" s="57"/>
      <c r="J360" s="57"/>
      <c r="K360" s="57" t="str">
        <f t="shared" si="20"/>
        <v/>
      </c>
      <c r="L360" s="57" t="str">
        <f>IF(K360="","",VLOOKUP(F360,Tabelle1!$A$2:$I$496,9,0))</f>
        <v/>
      </c>
      <c r="M360" s="57" t="str">
        <f>IF(K360="","",VLOOKUP(F360,Tabelle1!$A$2:$G$496,7,0))</f>
        <v/>
      </c>
      <c r="N360" s="66" t="str">
        <f t="shared" si="21"/>
        <v/>
      </c>
      <c r="O360" s="66" t="str">
        <f>IF(K360="","",((K360*VLOOKUP(F360,Tabelle1!$A$2:$I$496,8,0))/$W$4))</f>
        <v/>
      </c>
      <c r="P360" s="76" t="str">
        <f>IF(K360="","",VLOOKUP(F360,Tabelle1!$A$2:$L$496,12,0))</f>
        <v/>
      </c>
    </row>
    <row r="361" spans="1:16">
      <c r="A361" s="67"/>
      <c r="B361" s="55"/>
      <c r="C361" s="55"/>
      <c r="D361" s="57" t="str">
        <f>IF(K361="","",VLOOKUP(F361,Tabelle1!$A$2:$C$496,3,0))</f>
        <v/>
      </c>
      <c r="E361" s="57" t="str">
        <f>IF(K361="","",VLOOKUP(F361,Tabelle1!$A$2:$M$496,13,0))</f>
        <v/>
      </c>
      <c r="F361" s="56"/>
      <c r="G361" s="57"/>
      <c r="H361" s="57"/>
      <c r="I361" s="57"/>
      <c r="J361" s="57"/>
      <c r="K361" s="57" t="str">
        <f t="shared" si="20"/>
        <v/>
      </c>
      <c r="L361" s="57" t="str">
        <f>IF(K361="","",VLOOKUP(F361,Tabelle1!$A$2:$I$496,9,0))</f>
        <v/>
      </c>
      <c r="M361" s="57" t="str">
        <f>IF(K361="","",VLOOKUP(F361,Tabelle1!$A$2:$G$496,7,0))</f>
        <v/>
      </c>
      <c r="N361" s="66" t="str">
        <f t="shared" si="21"/>
        <v/>
      </c>
      <c r="O361" s="66" t="str">
        <f>IF(K361="","",((K361*VLOOKUP(F361,Tabelle1!$A$2:$I$496,8,0))/$W$4))</f>
        <v/>
      </c>
      <c r="P361" s="76" t="str">
        <f>IF(K361="","",VLOOKUP(F361,Tabelle1!$A$2:$L$496,12,0))</f>
        <v/>
      </c>
    </row>
    <row r="362" spans="1:16">
      <c r="A362" s="67"/>
      <c r="B362" s="55"/>
      <c r="C362" s="55"/>
      <c r="D362" s="57" t="str">
        <f>IF(K362="","",VLOOKUP(F362,Tabelle1!$A$2:$C$496,3,0))</f>
        <v/>
      </c>
      <c r="E362" s="57" t="str">
        <f>IF(K362="","",VLOOKUP(F362,Tabelle1!$A$2:$M$496,13,0))</f>
        <v/>
      </c>
      <c r="F362" s="56"/>
      <c r="G362" s="57"/>
      <c r="H362" s="57"/>
      <c r="I362" s="57"/>
      <c r="J362" s="57"/>
      <c r="K362" s="57" t="str">
        <f t="shared" si="20"/>
        <v/>
      </c>
      <c r="L362" s="57" t="str">
        <f>IF(K362="","",VLOOKUP(F362,Tabelle1!$A$2:$I$496,9,0))</f>
        <v/>
      </c>
      <c r="M362" s="57" t="str">
        <f>IF(K362="","",VLOOKUP(F362,Tabelle1!$A$2:$G$496,7,0))</f>
        <v/>
      </c>
      <c r="N362" s="66" t="str">
        <f t="shared" si="21"/>
        <v/>
      </c>
      <c r="O362" s="66" t="str">
        <f>IF(K362="","",((K362*VLOOKUP(F362,Tabelle1!$A$2:$I$496,8,0))/$W$4))</f>
        <v/>
      </c>
      <c r="P362" s="76" t="str">
        <f>IF(K362="","",VLOOKUP(F362,Tabelle1!$A$2:$L$496,12,0))</f>
        <v/>
      </c>
    </row>
    <row r="363" spans="1:16">
      <c r="A363" s="67"/>
      <c r="B363" s="55"/>
      <c r="C363" s="55"/>
      <c r="D363" s="57" t="str">
        <f>IF(K363="","",VLOOKUP(F363,Tabelle1!$A$2:$C$496,3,0))</f>
        <v/>
      </c>
      <c r="E363" s="57" t="str">
        <f>IF(K363="","",VLOOKUP(F363,Tabelle1!$A$2:$M$496,13,0))</f>
        <v/>
      </c>
      <c r="F363" s="56"/>
      <c r="G363" s="57"/>
      <c r="H363" s="57"/>
      <c r="I363" s="57"/>
      <c r="J363" s="57"/>
      <c r="K363" s="57" t="str">
        <f t="shared" si="20"/>
        <v/>
      </c>
      <c r="L363" s="57" t="str">
        <f>IF(K363="","",VLOOKUP(F363,Tabelle1!$A$2:$I$496,9,0))</f>
        <v/>
      </c>
      <c r="M363" s="57" t="str">
        <f>IF(K363="","",VLOOKUP(F363,Tabelle1!$A$2:$G$496,7,0))</f>
        <v/>
      </c>
      <c r="N363" s="66" t="str">
        <f t="shared" si="21"/>
        <v/>
      </c>
      <c r="O363" s="66" t="str">
        <f>IF(K363="","",((K363*VLOOKUP(F363,Tabelle1!$A$2:$I$496,8,0))/$W$4))</f>
        <v/>
      </c>
      <c r="P363" s="76" t="str">
        <f>IF(K363="","",VLOOKUP(F363,Tabelle1!$A$2:$L$496,12,0))</f>
        <v/>
      </c>
    </row>
    <row r="364" spans="1:16">
      <c r="A364" s="67"/>
      <c r="B364" s="55"/>
      <c r="C364" s="55"/>
      <c r="D364" s="57" t="str">
        <f>IF(K364="","",VLOOKUP(F364,Tabelle1!$A$2:$C$496,3,0))</f>
        <v/>
      </c>
      <c r="E364" s="57" t="str">
        <f>IF(K364="","",VLOOKUP(F364,Tabelle1!$A$2:$M$496,13,0))</f>
        <v/>
      </c>
      <c r="F364" s="56"/>
      <c r="G364" s="57"/>
      <c r="H364" s="57"/>
      <c r="I364" s="57"/>
      <c r="J364" s="57"/>
      <c r="K364" s="57" t="str">
        <f t="shared" si="20"/>
        <v/>
      </c>
      <c r="L364" s="57" t="str">
        <f>IF(K364="","",VLOOKUP(F364,Tabelle1!$A$2:$I$496,9,0))</f>
        <v/>
      </c>
      <c r="M364" s="57" t="str">
        <f>IF(K364="","",VLOOKUP(F364,Tabelle1!$A$2:$G$496,7,0))</f>
        <v/>
      </c>
      <c r="N364" s="66" t="str">
        <f t="shared" si="21"/>
        <v/>
      </c>
      <c r="O364" s="66" t="str">
        <f>IF(K364="","",((K364*VLOOKUP(F364,Tabelle1!$A$2:$I$496,8,0))/$W$4))</f>
        <v/>
      </c>
      <c r="P364" s="76" t="str">
        <f>IF(K364="","",VLOOKUP(F364,Tabelle1!$A$2:$L$496,12,0))</f>
        <v/>
      </c>
    </row>
    <row r="365" spans="1:16">
      <c r="A365" s="67"/>
      <c r="B365" s="55"/>
      <c r="C365" s="55"/>
      <c r="D365" s="57" t="str">
        <f>IF(K365="","",VLOOKUP(F365,Tabelle1!$A$2:$C$496,3,0))</f>
        <v/>
      </c>
      <c r="E365" s="57" t="str">
        <f>IF(K365="","",VLOOKUP(F365,Tabelle1!$A$2:$M$496,13,0))</f>
        <v/>
      </c>
      <c r="F365" s="56"/>
      <c r="G365" s="57"/>
      <c r="H365" s="57"/>
      <c r="I365" s="57"/>
      <c r="J365" s="57"/>
      <c r="K365" s="57" t="str">
        <f t="shared" si="20"/>
        <v/>
      </c>
      <c r="L365" s="57" t="str">
        <f>IF(K365="","",VLOOKUP(F365,Tabelle1!$A$2:$I$496,9,0))</f>
        <v/>
      </c>
      <c r="M365" s="57" t="str">
        <f>IF(K365="","",VLOOKUP(F365,Tabelle1!$A$2:$G$496,7,0))</f>
        <v/>
      </c>
      <c r="N365" s="66" t="str">
        <f t="shared" si="21"/>
        <v/>
      </c>
      <c r="O365" s="66" t="str">
        <f>IF(K365="","",((K365*VLOOKUP(F365,Tabelle1!$A$2:$I$496,8,0))/$W$4))</f>
        <v/>
      </c>
      <c r="P365" s="76" t="str">
        <f>IF(K365="","",VLOOKUP(F365,Tabelle1!$A$2:$L$496,12,0))</f>
        <v/>
      </c>
    </row>
    <row r="366" spans="1:16">
      <c r="A366" s="67"/>
      <c r="B366" s="55"/>
      <c r="C366" s="55"/>
      <c r="D366" s="57" t="str">
        <f>IF(K366="","",VLOOKUP(F366,Tabelle1!$A$2:$C$496,3,0))</f>
        <v/>
      </c>
      <c r="E366" s="57" t="str">
        <f>IF(K366="","",VLOOKUP(F366,Tabelle1!$A$2:$M$496,13,0))</f>
        <v/>
      </c>
      <c r="F366" s="56"/>
      <c r="G366" s="57"/>
      <c r="H366" s="57"/>
      <c r="I366" s="57"/>
      <c r="J366" s="57"/>
      <c r="K366" s="57" t="str">
        <f t="shared" si="20"/>
        <v/>
      </c>
      <c r="L366" s="57" t="str">
        <f>IF(K366="","",VLOOKUP(F366,Tabelle1!$A$2:$I$496,9,0))</f>
        <v/>
      </c>
      <c r="M366" s="57" t="str">
        <f>IF(K366="","",VLOOKUP(F366,Tabelle1!$A$2:$G$496,7,0))</f>
        <v/>
      </c>
      <c r="N366" s="66" t="str">
        <f t="shared" si="21"/>
        <v/>
      </c>
      <c r="O366" s="66" t="str">
        <f>IF(K366="","",((K366*VLOOKUP(F366,Tabelle1!$A$2:$I$496,8,0))/$W$4))</f>
        <v/>
      </c>
      <c r="P366" s="76" t="str">
        <f>IF(K366="","",VLOOKUP(F366,Tabelle1!$A$2:$L$496,12,0))</f>
        <v/>
      </c>
    </row>
    <row r="367" spans="1:16">
      <c r="A367" s="67"/>
      <c r="B367" s="55"/>
      <c r="C367" s="55"/>
      <c r="D367" s="57" t="str">
        <f>IF(K367="","",VLOOKUP(F367,Tabelle1!$A$2:$C$496,3,0))</f>
        <v/>
      </c>
      <c r="E367" s="57" t="str">
        <f>IF(K367="","",VLOOKUP(F367,Tabelle1!$A$2:$M$496,13,0))</f>
        <v/>
      </c>
      <c r="F367" s="56"/>
      <c r="G367" s="57"/>
      <c r="H367" s="57"/>
      <c r="I367" s="57"/>
      <c r="J367" s="57"/>
      <c r="K367" s="57" t="str">
        <f t="shared" si="20"/>
        <v/>
      </c>
      <c r="L367" s="57" t="str">
        <f>IF(K367="","",VLOOKUP(F367,Tabelle1!$A$2:$I$496,9,0))</f>
        <v/>
      </c>
      <c r="M367" s="57" t="str">
        <f>IF(K367="","",VLOOKUP(F367,Tabelle1!$A$2:$G$496,7,0))</f>
        <v/>
      </c>
      <c r="N367" s="66" t="str">
        <f t="shared" si="21"/>
        <v/>
      </c>
      <c r="O367" s="66" t="str">
        <f>IF(K367="","",((K367*VLOOKUP(F367,Tabelle1!$A$2:$I$496,8,0))/$W$4))</f>
        <v/>
      </c>
      <c r="P367" s="76" t="str">
        <f>IF(K367="","",VLOOKUP(F367,Tabelle1!$A$2:$L$496,12,0))</f>
        <v/>
      </c>
    </row>
    <row r="368" spans="1:16">
      <c r="A368" s="67"/>
      <c r="B368" s="55"/>
      <c r="C368" s="55"/>
      <c r="D368" s="57" t="str">
        <f>IF(K368="","",VLOOKUP(F368,Tabelle1!$A$2:$C$496,3,0))</f>
        <v/>
      </c>
      <c r="E368" s="57" t="str">
        <f>IF(K368="","",VLOOKUP(F368,Tabelle1!$A$2:$M$496,13,0))</f>
        <v/>
      </c>
      <c r="F368" s="56"/>
      <c r="G368" s="57"/>
      <c r="H368" s="57"/>
      <c r="I368" s="57"/>
      <c r="J368" s="57"/>
      <c r="K368" s="57" t="str">
        <f t="shared" si="20"/>
        <v/>
      </c>
      <c r="L368" s="57" t="str">
        <f>IF(K368="","",VLOOKUP(F368,Tabelle1!$A$2:$I$496,9,0))</f>
        <v/>
      </c>
      <c r="M368" s="57" t="str">
        <f>IF(K368="","",VLOOKUP(F368,Tabelle1!$A$2:$G$496,7,0))</f>
        <v/>
      </c>
      <c r="N368" s="66" t="str">
        <f t="shared" si="21"/>
        <v/>
      </c>
      <c r="O368" s="66" t="str">
        <f>IF(K368="","",((K368*VLOOKUP(F368,Tabelle1!$A$2:$I$496,8,0))/$W$4))</f>
        <v/>
      </c>
      <c r="P368" s="76" t="str">
        <f>IF(K368="","",VLOOKUP(F368,Tabelle1!$A$2:$L$496,12,0))</f>
        <v/>
      </c>
    </row>
    <row r="369" spans="1:16">
      <c r="A369" s="67"/>
      <c r="B369" s="55"/>
      <c r="C369" s="55"/>
      <c r="D369" s="57" t="str">
        <f>IF(K369="","",VLOOKUP(F369,Tabelle1!$A$2:$C$496,3,0))</f>
        <v/>
      </c>
      <c r="E369" s="57" t="str">
        <f>IF(K369="","",VLOOKUP(F369,Tabelle1!$A$2:$M$496,13,0))</f>
        <v/>
      </c>
      <c r="F369" s="56"/>
      <c r="G369" s="57"/>
      <c r="H369" s="57"/>
      <c r="I369" s="57"/>
      <c r="J369" s="57"/>
      <c r="K369" s="57" t="str">
        <f t="shared" si="20"/>
        <v/>
      </c>
      <c r="L369" s="57" t="str">
        <f>IF(K369="","",VLOOKUP(F369,Tabelle1!$A$2:$I$496,9,0))</f>
        <v/>
      </c>
      <c r="M369" s="57" t="str">
        <f>IF(K369="","",VLOOKUP(F369,Tabelle1!$A$2:$G$496,7,0))</f>
        <v/>
      </c>
      <c r="N369" s="66" t="str">
        <f t="shared" si="21"/>
        <v/>
      </c>
      <c r="O369" s="66" t="str">
        <f>IF(K369="","",((K369*VLOOKUP(F369,Tabelle1!$A$2:$I$496,8,0))/$W$4))</f>
        <v/>
      </c>
      <c r="P369" s="76" t="str">
        <f>IF(K369="","",VLOOKUP(F369,Tabelle1!$A$2:$L$496,12,0))</f>
        <v/>
      </c>
    </row>
    <row r="370" spans="1:16">
      <c r="A370" s="67"/>
      <c r="B370" s="55"/>
      <c r="C370" s="55"/>
      <c r="D370" s="57" t="str">
        <f>IF(K370="","",VLOOKUP(F370,Tabelle1!$A$2:$C$496,3,0))</f>
        <v/>
      </c>
      <c r="E370" s="57" t="str">
        <f>IF(K370="","",VLOOKUP(F370,Tabelle1!$A$2:$M$496,13,0))</f>
        <v/>
      </c>
      <c r="F370" s="56"/>
      <c r="G370" s="57"/>
      <c r="H370" s="57"/>
      <c r="I370" s="57"/>
      <c r="J370" s="57"/>
      <c r="K370" s="57" t="str">
        <f t="shared" si="20"/>
        <v/>
      </c>
      <c r="L370" s="57" t="str">
        <f>IF(K370="","",VLOOKUP(F370,Tabelle1!$A$2:$I$496,9,0))</f>
        <v/>
      </c>
      <c r="M370" s="57" t="str">
        <f>IF(K370="","",VLOOKUP(F370,Tabelle1!$A$2:$G$496,7,0))</f>
        <v/>
      </c>
      <c r="N370" s="66" t="str">
        <f t="shared" si="21"/>
        <v/>
      </c>
      <c r="O370" s="66" t="str">
        <f>IF(K370="","",((K370*VLOOKUP(F370,Tabelle1!$A$2:$I$496,8,0))/$W$4))</f>
        <v/>
      </c>
      <c r="P370" s="76" t="str">
        <f>IF(K370="","",VLOOKUP(F370,Tabelle1!$A$2:$L$496,12,0))</f>
        <v/>
      </c>
    </row>
    <row r="371" spans="1:16">
      <c r="A371" s="67"/>
      <c r="B371" s="55"/>
      <c r="C371" s="55"/>
      <c r="D371" s="57" t="str">
        <f>IF(K371="","",VLOOKUP(F371,Tabelle1!$A$2:$C$496,3,0))</f>
        <v/>
      </c>
      <c r="E371" s="57" t="str">
        <f>IF(K371="","",VLOOKUP(F371,Tabelle1!$A$2:$M$496,13,0))</f>
        <v/>
      </c>
      <c r="F371" s="56"/>
      <c r="G371" s="57"/>
      <c r="H371" s="57"/>
      <c r="I371" s="57"/>
      <c r="J371" s="57"/>
      <c r="K371" s="57" t="str">
        <f t="shared" si="20"/>
        <v/>
      </c>
      <c r="L371" s="57" t="str">
        <f>IF(K371="","",VLOOKUP(F371,Tabelle1!$A$2:$I$496,9,0))</f>
        <v/>
      </c>
      <c r="M371" s="57" t="str">
        <f>IF(K371="","",VLOOKUP(F371,Tabelle1!$A$2:$G$496,7,0))</f>
        <v/>
      </c>
      <c r="N371" s="66" t="str">
        <f t="shared" si="21"/>
        <v/>
      </c>
      <c r="O371" s="66" t="str">
        <f>IF(K371="","",((K371*VLOOKUP(F371,Tabelle1!$A$2:$I$496,8,0))/$W$4))</f>
        <v/>
      </c>
      <c r="P371" s="76" t="str">
        <f>IF(K371="","",VLOOKUP(F371,Tabelle1!$A$2:$L$496,12,0))</f>
        <v/>
      </c>
    </row>
    <row r="372" spans="1:16">
      <c r="A372" s="67"/>
      <c r="B372" s="55"/>
      <c r="C372" s="55"/>
      <c r="D372" s="57" t="str">
        <f>IF(K372="","",VLOOKUP(F372,Tabelle1!$A$2:$C$496,3,0))</f>
        <v/>
      </c>
      <c r="E372" s="57" t="str">
        <f>IF(K372="","",VLOOKUP(F372,Tabelle1!$A$2:$M$496,13,0))</f>
        <v/>
      </c>
      <c r="F372" s="56"/>
      <c r="G372" s="57"/>
      <c r="H372" s="57"/>
      <c r="I372" s="57"/>
      <c r="J372" s="57"/>
      <c r="K372" s="57" t="str">
        <f t="shared" si="20"/>
        <v/>
      </c>
      <c r="L372" s="57" t="str">
        <f>IF(K372="","",VLOOKUP(F372,Tabelle1!$A$2:$I$496,9,0))</f>
        <v/>
      </c>
      <c r="M372" s="57" t="str">
        <f>IF(K372="","",VLOOKUP(F372,Tabelle1!$A$2:$G$496,7,0))</f>
        <v/>
      </c>
      <c r="N372" s="66" t="str">
        <f t="shared" si="21"/>
        <v/>
      </c>
      <c r="O372" s="66" t="str">
        <f>IF(K372="","",((K372*VLOOKUP(F372,Tabelle1!$A$2:$I$496,8,0))/$W$4))</f>
        <v/>
      </c>
      <c r="P372" s="76" t="str">
        <f>IF(K372="","",VLOOKUP(F372,Tabelle1!$A$2:$L$496,12,0))</f>
        <v/>
      </c>
    </row>
    <row r="373" spans="1:16">
      <c r="A373" s="67"/>
      <c r="B373" s="55"/>
      <c r="C373" s="55"/>
      <c r="D373" s="57" t="str">
        <f>IF(K373="","",VLOOKUP(F373,Tabelle1!$A$2:$C$496,3,0))</f>
        <v/>
      </c>
      <c r="E373" s="57" t="str">
        <f>IF(K373="","",VLOOKUP(F373,Tabelle1!$A$2:$M$496,13,0))</f>
        <v/>
      </c>
      <c r="F373" s="56"/>
      <c r="G373" s="57"/>
      <c r="H373" s="57"/>
      <c r="I373" s="57"/>
      <c r="J373" s="57"/>
      <c r="K373" s="57" t="str">
        <f t="shared" si="20"/>
        <v/>
      </c>
      <c r="L373" s="57" t="str">
        <f>IF(K373="","",VLOOKUP(F373,Tabelle1!$A$2:$I$496,9,0))</f>
        <v/>
      </c>
      <c r="M373" s="57" t="str">
        <f>IF(K373="","",VLOOKUP(F373,Tabelle1!$A$2:$G$496,7,0))</f>
        <v/>
      </c>
      <c r="N373" s="66" t="str">
        <f t="shared" si="21"/>
        <v/>
      </c>
      <c r="O373" s="66" t="str">
        <f>IF(K373="","",((K373*VLOOKUP(F373,Tabelle1!$A$2:$I$496,8,0))/$W$4))</f>
        <v/>
      </c>
      <c r="P373" s="76" t="str">
        <f>IF(K373="","",VLOOKUP(F373,Tabelle1!$A$2:$L$496,12,0))</f>
        <v/>
      </c>
    </row>
    <row r="374" spans="1:16">
      <c r="A374" s="67"/>
      <c r="B374" s="55"/>
      <c r="C374" s="55"/>
      <c r="D374" s="57" t="str">
        <f>IF(K374="","",VLOOKUP(F374,Tabelle1!$A$2:$C$496,3,0))</f>
        <v/>
      </c>
      <c r="E374" s="57" t="str">
        <f>IF(K374="","",VLOOKUP(F374,Tabelle1!$A$2:$M$496,13,0))</f>
        <v/>
      </c>
      <c r="F374" s="56"/>
      <c r="G374" s="57"/>
      <c r="H374" s="57"/>
      <c r="I374" s="57"/>
      <c r="J374" s="57"/>
      <c r="K374" s="57" t="str">
        <f t="shared" si="20"/>
        <v/>
      </c>
      <c r="L374" s="57" t="str">
        <f>IF(K374="","",VLOOKUP(F374,Tabelle1!$A$2:$I$496,9,0))</f>
        <v/>
      </c>
      <c r="M374" s="57" t="str">
        <f>IF(K374="","",VLOOKUP(F374,Tabelle1!$A$2:$G$496,7,0))</f>
        <v/>
      </c>
      <c r="N374" s="66" t="str">
        <f t="shared" si="21"/>
        <v/>
      </c>
      <c r="O374" s="66" t="str">
        <f>IF(K374="","",((K374*VLOOKUP(F374,Tabelle1!$A$2:$I$496,8,0))/$W$4))</f>
        <v/>
      </c>
      <c r="P374" s="76" t="str">
        <f>IF(K374="","",VLOOKUP(F374,Tabelle1!$A$2:$L$496,12,0))</f>
        <v/>
      </c>
    </row>
    <row r="375" spans="1:16">
      <c r="A375" s="67"/>
      <c r="B375" s="55"/>
      <c r="C375" s="55"/>
      <c r="D375" s="57" t="str">
        <f>IF(K375="","",VLOOKUP(F375,Tabelle1!$A$2:$C$496,3,0))</f>
        <v/>
      </c>
      <c r="E375" s="57" t="str">
        <f>IF(K375="","",VLOOKUP(F375,Tabelle1!$A$2:$M$496,13,0))</f>
        <v/>
      </c>
      <c r="F375" s="56"/>
      <c r="G375" s="57"/>
      <c r="H375" s="57"/>
      <c r="I375" s="57"/>
      <c r="J375" s="57"/>
      <c r="K375" s="57" t="str">
        <f t="shared" si="20"/>
        <v/>
      </c>
      <c r="L375" s="57" t="str">
        <f>IF(K375="","",VLOOKUP(F375,Tabelle1!$A$2:$I$496,9,0))</f>
        <v/>
      </c>
      <c r="M375" s="57" t="str">
        <f>IF(K375="","",VLOOKUP(F375,Tabelle1!$A$2:$G$496,7,0))</f>
        <v/>
      </c>
      <c r="N375" s="66" t="str">
        <f t="shared" si="21"/>
        <v/>
      </c>
      <c r="O375" s="66" t="str">
        <f>IF(K375="","",((K375*VLOOKUP(F375,Tabelle1!$A$2:$I$496,8,0))/$W$4))</f>
        <v/>
      </c>
      <c r="P375" s="76" t="str">
        <f>IF(K375="","",VLOOKUP(F375,Tabelle1!$A$2:$L$496,12,0))</f>
        <v/>
      </c>
    </row>
    <row r="376" spans="1:16">
      <c r="A376" s="67"/>
      <c r="B376" s="55"/>
      <c r="C376" s="55"/>
      <c r="D376" s="57" t="str">
        <f>IF(K376="","",VLOOKUP(F376,Tabelle1!$A$2:$C$496,3,0))</f>
        <v/>
      </c>
      <c r="E376" s="57" t="str">
        <f>IF(K376="","",VLOOKUP(F376,Tabelle1!$A$2:$M$496,13,0))</f>
        <v/>
      </c>
      <c r="F376" s="56"/>
      <c r="G376" s="57"/>
      <c r="H376" s="57"/>
      <c r="I376" s="57"/>
      <c r="J376" s="57"/>
      <c r="K376" s="57" t="str">
        <f t="shared" si="20"/>
        <v/>
      </c>
      <c r="L376" s="57" t="str">
        <f>IF(K376="","",VLOOKUP(F376,Tabelle1!$A$2:$I$496,9,0))</f>
        <v/>
      </c>
      <c r="M376" s="57" t="str">
        <f>IF(K376="","",VLOOKUP(F376,Tabelle1!$A$2:$G$496,7,0))</f>
        <v/>
      </c>
      <c r="N376" s="66" t="str">
        <f t="shared" si="21"/>
        <v/>
      </c>
      <c r="O376" s="66" t="str">
        <f>IF(K376="","",((K376*VLOOKUP(F376,Tabelle1!$A$2:$I$496,8,0))/$W$4))</f>
        <v/>
      </c>
      <c r="P376" s="76" t="str">
        <f>IF(K376="","",VLOOKUP(F376,Tabelle1!$A$2:$L$496,12,0))</f>
        <v/>
      </c>
    </row>
    <row r="377" spans="1:16">
      <c r="A377" s="67"/>
      <c r="B377" s="55"/>
      <c r="C377" s="55"/>
      <c r="D377" s="57" t="str">
        <f>IF(K377="","",VLOOKUP(F377,Tabelle1!$A$2:$C$496,3,0))</f>
        <v/>
      </c>
      <c r="E377" s="57" t="str">
        <f>IF(K377="","",VLOOKUP(F377,Tabelle1!$A$2:$M$496,13,0))</f>
        <v/>
      </c>
      <c r="F377" s="56"/>
      <c r="G377" s="57"/>
      <c r="H377" s="57"/>
      <c r="I377" s="57"/>
      <c r="J377" s="57"/>
      <c r="K377" s="57" t="str">
        <f t="shared" si="20"/>
        <v/>
      </c>
      <c r="L377" s="57" t="str">
        <f>IF(K377="","",VLOOKUP(F377,Tabelle1!$A$2:$I$496,9,0))</f>
        <v/>
      </c>
      <c r="M377" s="57" t="str">
        <f>IF(K377="","",VLOOKUP(F377,Tabelle1!$A$2:$G$496,7,0))</f>
        <v/>
      </c>
      <c r="N377" s="66" t="str">
        <f t="shared" si="21"/>
        <v/>
      </c>
      <c r="O377" s="66" t="str">
        <f>IF(K377="","",((K377*VLOOKUP(F377,Tabelle1!$A$2:$I$496,8,0))/$W$4))</f>
        <v/>
      </c>
      <c r="P377" s="76" t="str">
        <f>IF(K377="","",VLOOKUP(F377,Tabelle1!$A$2:$L$496,12,0))</f>
        <v/>
      </c>
    </row>
    <row r="378" spans="1:16">
      <c r="A378" s="67"/>
      <c r="B378" s="55"/>
      <c r="C378" s="55"/>
      <c r="D378" s="57" t="str">
        <f>IF(K378="","",VLOOKUP(F378,Tabelle1!$A$2:$C$496,3,0))</f>
        <v/>
      </c>
      <c r="E378" s="57" t="str">
        <f>IF(K378="","",VLOOKUP(F378,Tabelle1!$A$2:$M$496,13,0))</f>
        <v/>
      </c>
      <c r="F378" s="56"/>
      <c r="G378" s="57"/>
      <c r="H378" s="57"/>
      <c r="I378" s="57"/>
      <c r="J378" s="57"/>
      <c r="K378" s="57" t="str">
        <f t="shared" si="20"/>
        <v/>
      </c>
      <c r="L378" s="57" t="str">
        <f>IF(K378="","",VLOOKUP(F378,Tabelle1!$A$2:$I$496,9,0))</f>
        <v/>
      </c>
      <c r="M378" s="57" t="str">
        <f>IF(K378="","",VLOOKUP(F378,Tabelle1!$A$2:$G$496,7,0))</f>
        <v/>
      </c>
      <c r="N378" s="66" t="str">
        <f t="shared" si="21"/>
        <v/>
      </c>
      <c r="O378" s="66" t="str">
        <f>IF(K378="","",((K378*VLOOKUP(F378,Tabelle1!$A$2:$I$496,8,0))/$W$4))</f>
        <v/>
      </c>
      <c r="P378" s="76" t="str">
        <f>IF(K378="","",VLOOKUP(F378,Tabelle1!$A$2:$L$496,12,0))</f>
        <v/>
      </c>
    </row>
    <row r="379" spans="1:16">
      <c r="A379" s="67"/>
      <c r="B379" s="55"/>
      <c r="C379" s="55"/>
      <c r="D379" s="57" t="str">
        <f>IF(K379="","",VLOOKUP(F379,Tabelle1!$A$2:$C$496,3,0))</f>
        <v/>
      </c>
      <c r="E379" s="57" t="str">
        <f>IF(K379="","",VLOOKUP(F379,Tabelle1!$A$2:$M$496,13,0))</f>
        <v/>
      </c>
      <c r="F379" s="56"/>
      <c r="G379" s="57"/>
      <c r="H379" s="57"/>
      <c r="I379" s="57"/>
      <c r="J379" s="57"/>
      <c r="K379" s="57" t="str">
        <f t="shared" si="20"/>
        <v/>
      </c>
      <c r="L379" s="57" t="str">
        <f>IF(K379="","",VLOOKUP(F379,Tabelle1!$A$2:$I$496,9,0))</f>
        <v/>
      </c>
      <c r="M379" s="57" t="str">
        <f>IF(K379="","",VLOOKUP(F379,Tabelle1!$A$2:$G$496,7,0))</f>
        <v/>
      </c>
      <c r="N379" s="66" t="str">
        <f t="shared" si="21"/>
        <v/>
      </c>
      <c r="O379" s="66" t="str">
        <f>IF(K379="","",((K379*VLOOKUP(F379,Tabelle1!$A$2:$I$496,8,0))/$W$4))</f>
        <v/>
      </c>
      <c r="P379" s="76" t="str">
        <f>IF(K379="","",VLOOKUP(F379,Tabelle1!$A$2:$L$496,12,0))</f>
        <v/>
      </c>
    </row>
    <row r="380" spans="1:16">
      <c r="A380" s="67"/>
      <c r="B380" s="55"/>
      <c r="C380" s="55"/>
      <c r="D380" s="57" t="str">
        <f>IF(K380="","",VLOOKUP(F380,Tabelle1!$A$2:$C$496,3,0))</f>
        <v/>
      </c>
      <c r="E380" s="57" t="str">
        <f>IF(K380="","",VLOOKUP(F380,Tabelle1!$A$2:$M$496,13,0))</f>
        <v/>
      </c>
      <c r="F380" s="56"/>
      <c r="G380" s="57"/>
      <c r="H380" s="57"/>
      <c r="I380" s="57"/>
      <c r="J380" s="57"/>
      <c r="K380" s="57" t="str">
        <f t="shared" si="20"/>
        <v/>
      </c>
      <c r="L380" s="57" t="str">
        <f>IF(K380="","",VLOOKUP(F380,Tabelle1!$A$2:$I$496,9,0))</f>
        <v/>
      </c>
      <c r="M380" s="57" t="str">
        <f>IF(K380="","",VLOOKUP(F380,Tabelle1!$A$2:$G$496,7,0))</f>
        <v/>
      </c>
      <c r="N380" s="66" t="str">
        <f t="shared" si="21"/>
        <v/>
      </c>
      <c r="O380" s="66" t="str">
        <f>IF(K380="","",((K380*VLOOKUP(F380,Tabelle1!$A$2:$I$496,8,0))/$W$4))</f>
        <v/>
      </c>
      <c r="P380" s="76" t="str">
        <f>IF(K380="","",VLOOKUP(F380,Tabelle1!$A$2:$L$496,12,0))</f>
        <v/>
      </c>
    </row>
    <row r="381" spans="1:16">
      <c r="A381" s="67"/>
      <c r="B381" s="55"/>
      <c r="C381" s="55"/>
      <c r="D381" s="57" t="str">
        <f>IF(K381="","",VLOOKUP(F381,Tabelle1!$A$2:$C$496,3,0))</f>
        <v/>
      </c>
      <c r="E381" s="57" t="str">
        <f>IF(K381="","",VLOOKUP(F381,Tabelle1!$A$2:$M$496,13,0))</f>
        <v/>
      </c>
      <c r="F381" s="56"/>
      <c r="G381" s="57"/>
      <c r="H381" s="57"/>
      <c r="I381" s="57"/>
      <c r="J381" s="57"/>
      <c r="K381" s="57" t="str">
        <f t="shared" si="20"/>
        <v/>
      </c>
      <c r="L381" s="57" t="str">
        <f>IF(K381="","",VLOOKUP(F381,Tabelle1!$A$2:$I$496,9,0))</f>
        <v/>
      </c>
      <c r="M381" s="57" t="str">
        <f>IF(K381="","",VLOOKUP(F381,Tabelle1!$A$2:$G$496,7,0))</f>
        <v/>
      </c>
      <c r="N381" s="66" t="str">
        <f t="shared" si="21"/>
        <v/>
      </c>
      <c r="O381" s="66" t="str">
        <f>IF(K381="","",((K381*VLOOKUP(F381,Tabelle1!$A$2:$I$496,8,0))/$W$4))</f>
        <v/>
      </c>
      <c r="P381" s="76" t="str">
        <f>IF(K381="","",VLOOKUP(F381,Tabelle1!$A$2:$L$496,12,0))</f>
        <v/>
      </c>
    </row>
    <row r="382" spans="1:16">
      <c r="A382" s="67"/>
      <c r="B382" s="55"/>
      <c r="C382" s="55"/>
      <c r="D382" s="57" t="str">
        <f>IF(K382="","",VLOOKUP(F382,Tabelle1!$A$2:$C$496,3,0))</f>
        <v/>
      </c>
      <c r="E382" s="57" t="str">
        <f>IF(K382="","",VLOOKUP(F382,Tabelle1!$A$2:$M$496,13,0))</f>
        <v/>
      </c>
      <c r="F382" s="56"/>
      <c r="G382" s="57"/>
      <c r="H382" s="57"/>
      <c r="I382" s="57"/>
      <c r="J382" s="57"/>
      <c r="K382" s="57" t="str">
        <f t="shared" si="20"/>
        <v/>
      </c>
      <c r="L382" s="57" t="str">
        <f>IF(K382="","",VLOOKUP(F382,Tabelle1!$A$2:$I$496,9,0))</f>
        <v/>
      </c>
      <c r="M382" s="57" t="str">
        <f>IF(K382="","",VLOOKUP(F382,Tabelle1!$A$2:$G$496,7,0))</f>
        <v/>
      </c>
      <c r="N382" s="66" t="str">
        <f t="shared" si="21"/>
        <v/>
      </c>
      <c r="O382" s="66" t="str">
        <f>IF(K382="","",((K382*VLOOKUP(F382,Tabelle1!$A$2:$I$496,8,0))/$W$4))</f>
        <v/>
      </c>
      <c r="P382" s="76" t="str">
        <f>IF(K382="","",VLOOKUP(F382,Tabelle1!$A$2:$L$496,12,0))</f>
        <v/>
      </c>
    </row>
    <row r="383" spans="1:16">
      <c r="A383" s="67"/>
      <c r="B383" s="55"/>
      <c r="C383" s="55"/>
      <c r="D383" s="57" t="str">
        <f>IF(K383="","",VLOOKUP(F383,Tabelle1!$A$2:$C$496,3,0))</f>
        <v/>
      </c>
      <c r="E383" s="57" t="str">
        <f>IF(K383="","",VLOOKUP(F383,Tabelle1!$A$2:$M$496,13,0))</f>
        <v/>
      </c>
      <c r="F383" s="56"/>
      <c r="G383" s="57"/>
      <c r="H383" s="57"/>
      <c r="I383" s="57"/>
      <c r="J383" s="57"/>
      <c r="K383" s="57" t="str">
        <f t="shared" si="20"/>
        <v/>
      </c>
      <c r="L383" s="57" t="str">
        <f>IF(K383="","",VLOOKUP(F383,Tabelle1!$A$2:$I$496,9,0))</f>
        <v/>
      </c>
      <c r="M383" s="57" t="str">
        <f>IF(K383="","",VLOOKUP(F383,Tabelle1!$A$2:$G$496,7,0))</f>
        <v/>
      </c>
      <c r="N383" s="66" t="str">
        <f t="shared" si="21"/>
        <v/>
      </c>
      <c r="O383" s="66" t="str">
        <f>IF(K383="","",((K383*VLOOKUP(F383,Tabelle1!$A$2:$I$496,8,0))/$W$4))</f>
        <v/>
      </c>
      <c r="P383" s="76" t="str">
        <f>IF(K383="","",VLOOKUP(F383,Tabelle1!$A$2:$L$496,12,0))</f>
        <v/>
      </c>
    </row>
    <row r="384" spans="1:16">
      <c r="A384" s="67"/>
      <c r="B384" s="55"/>
      <c r="C384" s="55"/>
      <c r="D384" s="57" t="str">
        <f>IF(K384="","",VLOOKUP(F384,Tabelle1!$A$2:$C$496,3,0))</f>
        <v/>
      </c>
      <c r="E384" s="57" t="str">
        <f>IF(K384="","",VLOOKUP(F384,Tabelle1!$A$2:$M$496,13,0))</f>
        <v/>
      </c>
      <c r="F384" s="56"/>
      <c r="G384" s="57"/>
      <c r="H384" s="57"/>
      <c r="I384" s="57"/>
      <c r="J384" s="57"/>
      <c r="K384" s="57" t="str">
        <f t="shared" si="20"/>
        <v/>
      </c>
      <c r="L384" s="57" t="str">
        <f>IF(K384="","",VLOOKUP(F384,Tabelle1!$A$2:$I$496,9,0))</f>
        <v/>
      </c>
      <c r="M384" s="57" t="str">
        <f>IF(K384="","",VLOOKUP(F384,Tabelle1!$A$2:$G$496,7,0))</f>
        <v/>
      </c>
      <c r="N384" s="66" t="str">
        <f t="shared" si="21"/>
        <v/>
      </c>
      <c r="O384" s="66" t="str">
        <f>IF(K384="","",((K384*VLOOKUP(F384,Tabelle1!$A$2:$I$496,8,0))/$W$4))</f>
        <v/>
      </c>
      <c r="P384" s="76" t="str">
        <f>IF(K384="","",VLOOKUP(F384,Tabelle1!$A$2:$L$496,12,0))</f>
        <v/>
      </c>
    </row>
    <row r="385" spans="1:16">
      <c r="A385" s="67"/>
      <c r="B385" s="55"/>
      <c r="C385" s="55"/>
      <c r="D385" s="57" t="str">
        <f>IF(K385="","",VLOOKUP(F385,Tabelle1!$A$2:$C$496,3,0))</f>
        <v/>
      </c>
      <c r="E385" s="57" t="str">
        <f>IF(K385="","",VLOOKUP(F385,Tabelle1!$A$2:$M$496,13,0))</f>
        <v/>
      </c>
      <c r="F385" s="56"/>
      <c r="G385" s="57"/>
      <c r="H385" s="57"/>
      <c r="I385" s="57"/>
      <c r="J385" s="57"/>
      <c r="K385" s="57" t="str">
        <f t="shared" si="20"/>
        <v/>
      </c>
      <c r="L385" s="57" t="str">
        <f>IF(K385="","",VLOOKUP(F385,Tabelle1!$A$2:$I$496,9,0))</f>
        <v/>
      </c>
      <c r="M385" s="57" t="str">
        <f>IF(K385="","",VLOOKUP(F385,Tabelle1!$A$2:$G$496,7,0))</f>
        <v/>
      </c>
      <c r="N385" s="66" t="str">
        <f t="shared" si="21"/>
        <v/>
      </c>
      <c r="O385" s="66" t="str">
        <f>IF(K385="","",((K385*VLOOKUP(F385,Tabelle1!$A$2:$I$496,8,0))/$W$4))</f>
        <v/>
      </c>
      <c r="P385" s="76" t="str">
        <f>IF(K385="","",VLOOKUP(F385,Tabelle1!$A$2:$L$496,12,0))</f>
        <v/>
      </c>
    </row>
    <row r="386" spans="1:16">
      <c r="A386" s="67"/>
      <c r="B386" s="55"/>
      <c r="C386" s="55"/>
      <c r="D386" s="57" t="str">
        <f>IF(K386="","",VLOOKUP(F386,Tabelle1!$A$2:$C$496,3,0))</f>
        <v/>
      </c>
      <c r="E386" s="57" t="str">
        <f>IF(K386="","",VLOOKUP(F386,Tabelle1!$A$2:$M$496,13,0))</f>
        <v/>
      </c>
      <c r="F386" s="56"/>
      <c r="G386" s="57"/>
      <c r="H386" s="57"/>
      <c r="I386" s="57"/>
      <c r="J386" s="57"/>
      <c r="K386" s="57" t="str">
        <f t="shared" si="20"/>
        <v/>
      </c>
      <c r="L386" s="57" t="str">
        <f>IF(K386="","",VLOOKUP(F386,Tabelle1!$A$2:$I$496,9,0))</f>
        <v/>
      </c>
      <c r="M386" s="57" t="str">
        <f>IF(K386="","",VLOOKUP(F386,Tabelle1!$A$2:$G$496,7,0))</f>
        <v/>
      </c>
      <c r="N386" s="66" t="str">
        <f t="shared" si="21"/>
        <v/>
      </c>
      <c r="O386" s="66" t="str">
        <f>IF(K386="","",((K386*VLOOKUP(F386,Tabelle1!$A$2:$I$496,8,0))/$W$4))</f>
        <v/>
      </c>
      <c r="P386" s="76" t="str">
        <f>IF(K386="","",VLOOKUP(F386,Tabelle1!$A$2:$L$496,12,0))</f>
        <v/>
      </c>
    </row>
    <row r="387" spans="1:16">
      <c r="A387" s="67"/>
      <c r="B387" s="55"/>
      <c r="C387" s="55"/>
      <c r="D387" s="57" t="str">
        <f>IF(K387="","",VLOOKUP(F387,Tabelle1!$A$2:$C$496,3,0))</f>
        <v/>
      </c>
      <c r="E387" s="57" t="str">
        <f>IF(K387="","",VLOOKUP(F387,Tabelle1!$A$2:$M$496,13,0))</f>
        <v/>
      </c>
      <c r="F387" s="56"/>
      <c r="G387" s="57"/>
      <c r="H387" s="57"/>
      <c r="I387" s="57"/>
      <c r="J387" s="57"/>
      <c r="K387" s="57" t="str">
        <f t="shared" si="20"/>
        <v/>
      </c>
      <c r="L387" s="57" t="str">
        <f>IF(K387="","",VLOOKUP(F387,Tabelle1!$A$2:$I$496,9,0))</f>
        <v/>
      </c>
      <c r="M387" s="57" t="str">
        <f>IF(K387="","",VLOOKUP(F387,Tabelle1!$A$2:$G$496,7,0))</f>
        <v/>
      </c>
      <c r="N387" s="66" t="str">
        <f t="shared" si="21"/>
        <v/>
      </c>
      <c r="O387" s="66" t="str">
        <f>IF(K387="","",((K387*VLOOKUP(F387,Tabelle1!$A$2:$I$496,8,0))/$W$4))</f>
        <v/>
      </c>
      <c r="P387" s="76" t="str">
        <f>IF(K387="","",VLOOKUP(F387,Tabelle1!$A$2:$L$496,12,0))</f>
        <v/>
      </c>
    </row>
    <row r="388" spans="1:16">
      <c r="A388" s="67"/>
      <c r="B388" s="55"/>
      <c r="C388" s="55"/>
      <c r="D388" s="57" t="str">
        <f>IF(K388="","",VLOOKUP(F388,Tabelle1!$A$2:$C$496,3,0))</f>
        <v/>
      </c>
      <c r="E388" s="57" t="str">
        <f>IF(K388="","",VLOOKUP(F388,Tabelle1!$A$2:$M$496,13,0))</f>
        <v/>
      </c>
      <c r="F388" s="56"/>
      <c r="G388" s="57"/>
      <c r="H388" s="57"/>
      <c r="I388" s="57"/>
      <c r="J388" s="57"/>
      <c r="K388" s="57" t="str">
        <f t="shared" si="20"/>
        <v/>
      </c>
      <c r="L388" s="57" t="str">
        <f>IF(K388="","",VLOOKUP(F388,Tabelle1!$A$2:$I$496,9,0))</f>
        <v/>
      </c>
      <c r="M388" s="57" t="str">
        <f>IF(K388="","",VLOOKUP(F388,Tabelle1!$A$2:$G$496,7,0))</f>
        <v/>
      </c>
      <c r="N388" s="66" t="str">
        <f t="shared" si="21"/>
        <v/>
      </c>
      <c r="O388" s="66" t="str">
        <f>IF(K388="","",((K388*VLOOKUP(F388,Tabelle1!$A$2:$I$496,8,0))/$W$4))</f>
        <v/>
      </c>
      <c r="P388" s="76" t="str">
        <f>IF(K388="","",VLOOKUP(F388,Tabelle1!$A$2:$L$496,12,0))</f>
        <v/>
      </c>
    </row>
    <row r="389" spans="1:16">
      <c r="A389" s="67"/>
      <c r="B389" s="55"/>
      <c r="C389" s="55"/>
      <c r="D389" s="57" t="str">
        <f>IF(K389="","",VLOOKUP(F389,Tabelle1!$A$2:$C$496,3,0))</f>
        <v/>
      </c>
      <c r="E389" s="57" t="str">
        <f>IF(K389="","",VLOOKUP(F389,Tabelle1!$A$2:$M$496,13,0))</f>
        <v/>
      </c>
      <c r="F389" s="56"/>
      <c r="G389" s="57"/>
      <c r="H389" s="57"/>
      <c r="I389" s="57"/>
      <c r="J389" s="57"/>
      <c r="K389" s="57" t="str">
        <f t="shared" si="20"/>
        <v/>
      </c>
      <c r="L389" s="57" t="str">
        <f>IF(K389="","",VLOOKUP(F389,Tabelle1!$A$2:$I$496,9,0))</f>
        <v/>
      </c>
      <c r="M389" s="57" t="str">
        <f>IF(K389="","",VLOOKUP(F389,Tabelle1!$A$2:$G$496,7,0))</f>
        <v/>
      </c>
      <c r="N389" s="66" t="str">
        <f t="shared" si="21"/>
        <v/>
      </c>
      <c r="O389" s="66" t="str">
        <f>IF(K389="","",((K389*VLOOKUP(F389,Tabelle1!$A$2:$I$496,8,0))/$W$4))</f>
        <v/>
      </c>
      <c r="P389" s="76" t="str">
        <f>IF(K389="","",VLOOKUP(F389,Tabelle1!$A$2:$L$496,12,0))</f>
        <v/>
      </c>
    </row>
    <row r="390" spans="1:16">
      <c r="A390" s="67"/>
      <c r="B390" s="55"/>
      <c r="C390" s="55"/>
      <c r="D390" s="57" t="str">
        <f>IF(K390="","",VLOOKUP(F390,Tabelle1!$A$2:$C$496,3,0))</f>
        <v/>
      </c>
      <c r="E390" s="57" t="str">
        <f>IF(K390="","",VLOOKUP(F390,Tabelle1!$A$2:$M$496,13,0))</f>
        <v/>
      </c>
      <c r="F390" s="56"/>
      <c r="G390" s="57"/>
      <c r="H390" s="57"/>
      <c r="I390" s="57"/>
      <c r="J390" s="57"/>
      <c r="K390" s="57" t="str">
        <f t="shared" si="20"/>
        <v/>
      </c>
      <c r="L390" s="57" t="str">
        <f>IF(K390="","",VLOOKUP(F390,Tabelle1!$A$2:$I$496,9,0))</f>
        <v/>
      </c>
      <c r="M390" s="57" t="str">
        <f>IF(K390="","",VLOOKUP(F390,Tabelle1!$A$2:$G$496,7,0))</f>
        <v/>
      </c>
      <c r="N390" s="66" t="str">
        <f t="shared" si="21"/>
        <v/>
      </c>
      <c r="O390" s="66" t="str">
        <f>IF(K390="","",((K390*VLOOKUP(F390,Tabelle1!$A$2:$I$496,8,0))/$W$4))</f>
        <v/>
      </c>
      <c r="P390" s="76" t="str">
        <f>IF(K390="","",VLOOKUP(F390,Tabelle1!$A$2:$L$496,12,0))</f>
        <v/>
      </c>
    </row>
    <row r="391" spans="1:16">
      <c r="A391" s="67"/>
      <c r="B391" s="55"/>
      <c r="C391" s="55"/>
      <c r="D391" s="57" t="str">
        <f>IF(K391="","",VLOOKUP(F391,Tabelle1!$A$2:$C$496,3,0))</f>
        <v/>
      </c>
      <c r="E391" s="57" t="str">
        <f>IF(K391="","",VLOOKUP(F391,Tabelle1!$A$2:$M$496,13,0))</f>
        <v/>
      </c>
      <c r="F391" s="56"/>
      <c r="G391" s="57"/>
      <c r="H391" s="57"/>
      <c r="I391" s="57"/>
      <c r="J391" s="57"/>
      <c r="K391" s="57" t="str">
        <f t="shared" si="20"/>
        <v/>
      </c>
      <c r="L391" s="57" t="str">
        <f>IF(K391="","",VLOOKUP(F391,Tabelle1!$A$2:$I$496,9,0))</f>
        <v/>
      </c>
      <c r="M391" s="57" t="str">
        <f>IF(K391="","",VLOOKUP(F391,Tabelle1!$A$2:$G$496,7,0))</f>
        <v/>
      </c>
      <c r="N391" s="66" t="str">
        <f t="shared" si="21"/>
        <v/>
      </c>
      <c r="O391" s="66" t="str">
        <f>IF(K391="","",((K391*VLOOKUP(F391,Tabelle1!$A$2:$I$496,8,0))/$W$4))</f>
        <v/>
      </c>
      <c r="P391" s="76" t="str">
        <f>IF(K391="","",VLOOKUP(F391,Tabelle1!$A$2:$L$496,12,0))</f>
        <v/>
      </c>
    </row>
    <row r="392" spans="1:16">
      <c r="A392" s="67"/>
      <c r="B392" s="55"/>
      <c r="C392" s="55"/>
      <c r="D392" s="57" t="str">
        <f>IF(K392="","",VLOOKUP(F392,Tabelle1!$A$2:$C$496,3,0))</f>
        <v/>
      </c>
      <c r="E392" s="57" t="str">
        <f>IF(K392="","",VLOOKUP(F392,Tabelle1!$A$2:$M$496,13,0))</f>
        <v/>
      </c>
      <c r="F392" s="56"/>
      <c r="G392" s="57"/>
      <c r="H392" s="57"/>
      <c r="I392" s="57"/>
      <c r="J392" s="57"/>
      <c r="K392" s="57" t="str">
        <f t="shared" si="20"/>
        <v/>
      </c>
      <c r="L392" s="57" t="str">
        <f>IF(K392="","",VLOOKUP(F392,Tabelle1!$A$2:$I$496,9,0))</f>
        <v/>
      </c>
      <c r="M392" s="57" t="str">
        <f>IF(K392="","",VLOOKUP(F392,Tabelle1!$A$2:$G$496,7,0))</f>
        <v/>
      </c>
      <c r="N392" s="66" t="str">
        <f t="shared" si="21"/>
        <v/>
      </c>
      <c r="O392" s="66" t="str">
        <f>IF(K392="","",((K392*VLOOKUP(F392,Tabelle1!$A$2:$I$496,8,0))/$W$4))</f>
        <v/>
      </c>
      <c r="P392" s="76" t="str">
        <f>IF(K392="","",VLOOKUP(F392,Tabelle1!$A$2:$L$496,12,0))</f>
        <v/>
      </c>
    </row>
    <row r="393" spans="1:16">
      <c r="A393" s="67"/>
      <c r="B393" s="55"/>
      <c r="C393" s="55"/>
      <c r="D393" s="57" t="str">
        <f>IF(K393="","",VLOOKUP(F393,Tabelle1!$A$2:$C$496,3,0))</f>
        <v/>
      </c>
      <c r="E393" s="57" t="str">
        <f>IF(K393="","",VLOOKUP(F393,Tabelle1!$A$2:$M$496,13,0))</f>
        <v/>
      </c>
      <c r="F393" s="56"/>
      <c r="G393" s="57"/>
      <c r="H393" s="57"/>
      <c r="I393" s="57"/>
      <c r="J393" s="57"/>
      <c r="K393" s="57" t="str">
        <f t="shared" si="20"/>
        <v/>
      </c>
      <c r="L393" s="57" t="str">
        <f>IF(K393="","",VLOOKUP(F393,Tabelle1!$A$2:$I$496,9,0))</f>
        <v/>
      </c>
      <c r="M393" s="57" t="str">
        <f>IF(K393="","",VLOOKUP(F393,Tabelle1!$A$2:$G$496,7,0))</f>
        <v/>
      </c>
      <c r="N393" s="66" t="str">
        <f t="shared" si="21"/>
        <v/>
      </c>
      <c r="O393" s="66" t="str">
        <f>IF(K393="","",((K393*VLOOKUP(F393,Tabelle1!$A$2:$I$496,8,0))/$W$4))</f>
        <v/>
      </c>
      <c r="P393" s="76" t="str">
        <f>IF(K393="","",VLOOKUP(F393,Tabelle1!$A$2:$L$496,12,0))</f>
        <v/>
      </c>
    </row>
    <row r="394" spans="1:16">
      <c r="A394" s="67"/>
      <c r="B394" s="55"/>
      <c r="C394" s="55"/>
      <c r="D394" s="57" t="str">
        <f>IF(K394="","",VLOOKUP(F394,Tabelle1!$A$2:$C$496,3,0))</f>
        <v/>
      </c>
      <c r="E394" s="57" t="str">
        <f>IF(K394="","",VLOOKUP(F394,Tabelle1!$A$2:$M$496,13,0))</f>
        <v/>
      </c>
      <c r="F394" s="56"/>
      <c r="G394" s="57"/>
      <c r="H394" s="57"/>
      <c r="I394" s="57"/>
      <c r="J394" s="57"/>
      <c r="K394" s="57" t="str">
        <f t="shared" si="20"/>
        <v/>
      </c>
      <c r="L394" s="57" t="str">
        <f>IF(K394="","",VLOOKUP(F394,Tabelle1!$A$2:$I$496,9,0))</f>
        <v/>
      </c>
      <c r="M394" s="57" t="str">
        <f>IF(K394="","",VLOOKUP(F394,Tabelle1!$A$2:$G$496,7,0))</f>
        <v/>
      </c>
      <c r="N394" s="66" t="str">
        <f t="shared" si="21"/>
        <v/>
      </c>
      <c r="O394" s="66" t="str">
        <f>IF(K394="","",((K394*VLOOKUP(F394,Tabelle1!$A$2:$I$496,8,0))/$W$4))</f>
        <v/>
      </c>
      <c r="P394" s="76" t="str">
        <f>IF(K394="","",VLOOKUP(F394,Tabelle1!$A$2:$L$496,12,0))</f>
        <v/>
      </c>
    </row>
    <row r="395" spans="1:16">
      <c r="A395" s="67"/>
      <c r="B395" s="55"/>
      <c r="C395" s="55"/>
      <c r="D395" s="57" t="str">
        <f>IF(K395="","",VLOOKUP(F395,Tabelle1!$A$2:$C$496,3,0))</f>
        <v/>
      </c>
      <c r="E395" s="57" t="str">
        <f>IF(K395="","",VLOOKUP(F395,Tabelle1!$A$2:$M$496,13,0))</f>
        <v/>
      </c>
      <c r="F395" s="56"/>
      <c r="G395" s="57"/>
      <c r="H395" s="57"/>
      <c r="I395" s="57"/>
      <c r="J395" s="57"/>
      <c r="K395" s="57" t="str">
        <f t="shared" ref="K395:K458" si="22">IF(F395="","",C395*G395*H395)</f>
        <v/>
      </c>
      <c r="L395" s="57" t="str">
        <f>IF(K395="","",VLOOKUP(F395,Tabelle1!$A$2:$I$496,9,0))</f>
        <v/>
      </c>
      <c r="M395" s="57" t="str">
        <f>IF(K395="","",VLOOKUP(F395,Tabelle1!$A$2:$G$496,7,0))</f>
        <v/>
      </c>
      <c r="N395" s="66" t="str">
        <f t="shared" ref="N395:N458" si="23">IF(M395&gt;0,O395,"")</f>
        <v/>
      </c>
      <c r="O395" s="66" t="str">
        <f>IF(K395="","",((K395*VLOOKUP(F395,Tabelle1!$A$2:$I$496,8,0))/$W$4))</f>
        <v/>
      </c>
      <c r="P395" s="76" t="str">
        <f>IF(K395="","",VLOOKUP(F395,Tabelle1!$A$2:$L$496,12,0))</f>
        <v/>
      </c>
    </row>
    <row r="396" spans="1:16">
      <c r="A396" s="67"/>
      <c r="B396" s="55"/>
      <c r="C396" s="55"/>
      <c r="D396" s="57" t="str">
        <f>IF(K396="","",VLOOKUP(F396,Tabelle1!$A$2:$C$496,3,0))</f>
        <v/>
      </c>
      <c r="E396" s="57" t="str">
        <f>IF(K396="","",VLOOKUP(F396,Tabelle1!$A$2:$M$496,13,0))</f>
        <v/>
      </c>
      <c r="F396" s="56"/>
      <c r="G396" s="57"/>
      <c r="H396" s="57"/>
      <c r="I396" s="57"/>
      <c r="J396" s="57"/>
      <c r="K396" s="57" t="str">
        <f t="shared" si="22"/>
        <v/>
      </c>
      <c r="L396" s="57" t="str">
        <f>IF(K396="","",VLOOKUP(F396,Tabelle1!$A$2:$I$496,9,0))</f>
        <v/>
      </c>
      <c r="M396" s="57" t="str">
        <f>IF(K396="","",VLOOKUP(F396,Tabelle1!$A$2:$G$496,7,0))</f>
        <v/>
      </c>
      <c r="N396" s="66" t="str">
        <f t="shared" si="23"/>
        <v/>
      </c>
      <c r="O396" s="66" t="str">
        <f>IF(K396="","",((K396*VLOOKUP(F396,Tabelle1!$A$2:$I$496,8,0))/$W$4))</f>
        <v/>
      </c>
      <c r="P396" s="76" t="str">
        <f>IF(K396="","",VLOOKUP(F396,Tabelle1!$A$2:$L$496,12,0))</f>
        <v/>
      </c>
    </row>
    <row r="397" spans="1:16">
      <c r="A397" s="67"/>
      <c r="B397" s="55"/>
      <c r="C397" s="55"/>
      <c r="D397" s="57" t="str">
        <f>IF(K397="","",VLOOKUP(F397,Tabelle1!$A$2:$C$496,3,0))</f>
        <v/>
      </c>
      <c r="E397" s="57" t="str">
        <f>IF(K397="","",VLOOKUP(F397,Tabelle1!$A$2:$M$496,13,0))</f>
        <v/>
      </c>
      <c r="F397" s="56"/>
      <c r="G397" s="57"/>
      <c r="H397" s="57"/>
      <c r="I397" s="57"/>
      <c r="J397" s="57"/>
      <c r="K397" s="57" t="str">
        <f t="shared" si="22"/>
        <v/>
      </c>
      <c r="L397" s="57" t="str">
        <f>IF(K397="","",VLOOKUP(F397,Tabelle1!$A$2:$I$496,9,0))</f>
        <v/>
      </c>
      <c r="M397" s="57" t="str">
        <f>IF(K397="","",VLOOKUP(F397,Tabelle1!$A$2:$G$496,7,0))</f>
        <v/>
      </c>
      <c r="N397" s="66" t="str">
        <f t="shared" si="23"/>
        <v/>
      </c>
      <c r="O397" s="66" t="str">
        <f>IF(K397="","",((K397*VLOOKUP(F397,Tabelle1!$A$2:$I$496,8,0))/$W$4))</f>
        <v/>
      </c>
      <c r="P397" s="76" t="str">
        <f>IF(K397="","",VLOOKUP(F397,Tabelle1!$A$2:$L$496,12,0))</f>
        <v/>
      </c>
    </row>
    <row r="398" spans="1:16">
      <c r="A398" s="67"/>
      <c r="B398" s="55"/>
      <c r="C398" s="55"/>
      <c r="D398" s="57" t="str">
        <f>IF(K398="","",VLOOKUP(F398,Tabelle1!$A$2:$C$496,3,0))</f>
        <v/>
      </c>
      <c r="E398" s="57" t="str">
        <f>IF(K398="","",VLOOKUP(F398,Tabelle1!$A$2:$M$496,13,0))</f>
        <v/>
      </c>
      <c r="F398" s="56"/>
      <c r="G398" s="57"/>
      <c r="H398" s="57"/>
      <c r="I398" s="57"/>
      <c r="J398" s="57"/>
      <c r="K398" s="57" t="str">
        <f t="shared" si="22"/>
        <v/>
      </c>
      <c r="L398" s="57" t="str">
        <f>IF(K398="","",VLOOKUP(F398,Tabelle1!$A$2:$I$496,9,0))</f>
        <v/>
      </c>
      <c r="M398" s="57" t="str">
        <f>IF(K398="","",VLOOKUP(F398,Tabelle1!$A$2:$G$496,7,0))</f>
        <v/>
      </c>
      <c r="N398" s="66" t="str">
        <f t="shared" si="23"/>
        <v/>
      </c>
      <c r="O398" s="66" t="str">
        <f>IF(K398="","",((K398*VLOOKUP(F398,Tabelle1!$A$2:$I$496,8,0))/$W$4))</f>
        <v/>
      </c>
      <c r="P398" s="76" t="str">
        <f>IF(K398="","",VLOOKUP(F398,Tabelle1!$A$2:$L$496,12,0))</f>
        <v/>
      </c>
    </row>
    <row r="399" spans="1:16">
      <c r="A399" s="67"/>
      <c r="B399" s="55"/>
      <c r="C399" s="55"/>
      <c r="D399" s="57" t="str">
        <f>IF(K399="","",VLOOKUP(F399,Tabelle1!$A$2:$C$496,3,0))</f>
        <v/>
      </c>
      <c r="E399" s="57" t="str">
        <f>IF(K399="","",VLOOKUP(F399,Tabelle1!$A$2:$M$496,13,0))</f>
        <v/>
      </c>
      <c r="F399" s="56"/>
      <c r="G399" s="57"/>
      <c r="H399" s="57"/>
      <c r="I399" s="57"/>
      <c r="J399" s="57"/>
      <c r="K399" s="57" t="str">
        <f t="shared" si="22"/>
        <v/>
      </c>
      <c r="L399" s="57" t="str">
        <f>IF(K399="","",VLOOKUP(F399,Tabelle1!$A$2:$I$496,9,0))</f>
        <v/>
      </c>
      <c r="M399" s="57" t="str">
        <f>IF(K399="","",VLOOKUP(F399,Tabelle1!$A$2:$G$496,7,0))</f>
        <v/>
      </c>
      <c r="N399" s="66" t="str">
        <f t="shared" si="23"/>
        <v/>
      </c>
      <c r="O399" s="66" t="str">
        <f>IF(K399="","",((K399*VLOOKUP(F399,Tabelle1!$A$2:$I$496,8,0))/$W$4))</f>
        <v/>
      </c>
      <c r="P399" s="76" t="str">
        <f>IF(K399="","",VLOOKUP(F399,Tabelle1!$A$2:$L$496,12,0))</f>
        <v/>
      </c>
    </row>
    <row r="400" spans="1:16">
      <c r="A400" s="67"/>
      <c r="B400" s="55"/>
      <c r="C400" s="55"/>
      <c r="D400" s="57" t="str">
        <f>IF(K400="","",VLOOKUP(F400,Tabelle1!$A$2:$C$496,3,0))</f>
        <v/>
      </c>
      <c r="E400" s="57" t="str">
        <f>IF(K400="","",VLOOKUP(F400,Tabelle1!$A$2:$M$496,13,0))</f>
        <v/>
      </c>
      <c r="F400" s="56"/>
      <c r="G400" s="57"/>
      <c r="H400" s="57"/>
      <c r="I400" s="57"/>
      <c r="J400" s="57"/>
      <c r="K400" s="57" t="str">
        <f t="shared" si="22"/>
        <v/>
      </c>
      <c r="L400" s="57" t="str">
        <f>IF(K400="","",VLOOKUP(F400,Tabelle1!$A$2:$I$496,9,0))</f>
        <v/>
      </c>
      <c r="M400" s="57" t="str">
        <f>IF(K400="","",VLOOKUP(F400,Tabelle1!$A$2:$G$496,7,0))</f>
        <v/>
      </c>
      <c r="N400" s="66" t="str">
        <f t="shared" si="23"/>
        <v/>
      </c>
      <c r="O400" s="66" t="str">
        <f>IF(K400="","",((K400*VLOOKUP(F400,Tabelle1!$A$2:$I$496,8,0))/$W$4))</f>
        <v/>
      </c>
      <c r="P400" s="76" t="str">
        <f>IF(K400="","",VLOOKUP(F400,Tabelle1!$A$2:$L$496,12,0))</f>
        <v/>
      </c>
    </row>
    <row r="401" spans="1:16">
      <c r="A401" s="67"/>
      <c r="B401" s="55"/>
      <c r="C401" s="55"/>
      <c r="D401" s="57" t="str">
        <f>IF(K401="","",VLOOKUP(F401,Tabelle1!$A$2:$C$496,3,0))</f>
        <v/>
      </c>
      <c r="E401" s="57" t="str">
        <f>IF(K401="","",VLOOKUP(F401,Tabelle1!$A$2:$M$496,13,0))</f>
        <v/>
      </c>
      <c r="F401" s="56"/>
      <c r="G401" s="57"/>
      <c r="H401" s="57"/>
      <c r="I401" s="57"/>
      <c r="J401" s="57"/>
      <c r="K401" s="57" t="str">
        <f t="shared" si="22"/>
        <v/>
      </c>
      <c r="L401" s="57" t="str">
        <f>IF(K401="","",VLOOKUP(F401,Tabelle1!$A$2:$I$496,9,0))</f>
        <v/>
      </c>
      <c r="M401" s="57" t="str">
        <f>IF(K401="","",VLOOKUP(F401,Tabelle1!$A$2:$G$496,7,0))</f>
        <v/>
      </c>
      <c r="N401" s="66" t="str">
        <f t="shared" si="23"/>
        <v/>
      </c>
      <c r="O401" s="66" t="str">
        <f>IF(K401="","",((K401*VLOOKUP(F401,Tabelle1!$A$2:$I$496,8,0))/$W$4))</f>
        <v/>
      </c>
      <c r="P401" s="76" t="str">
        <f>IF(K401="","",VLOOKUP(F401,Tabelle1!$A$2:$L$496,12,0))</f>
        <v/>
      </c>
    </row>
    <row r="402" spans="1:16">
      <c r="A402" s="67"/>
      <c r="B402" s="55"/>
      <c r="C402" s="55"/>
      <c r="D402" s="57" t="str">
        <f>IF(K402="","",VLOOKUP(F402,Tabelle1!$A$2:$C$496,3,0))</f>
        <v/>
      </c>
      <c r="E402" s="57" t="str">
        <f>IF(K402="","",VLOOKUP(F402,Tabelle1!$A$2:$M$496,13,0))</f>
        <v/>
      </c>
      <c r="F402" s="56"/>
      <c r="G402" s="57"/>
      <c r="H402" s="57"/>
      <c r="I402" s="57"/>
      <c r="J402" s="57"/>
      <c r="K402" s="57" t="str">
        <f t="shared" si="22"/>
        <v/>
      </c>
      <c r="L402" s="57" t="str">
        <f>IF(K402="","",VLOOKUP(F402,Tabelle1!$A$2:$I$496,9,0))</f>
        <v/>
      </c>
      <c r="M402" s="57" t="str">
        <f>IF(K402="","",VLOOKUP(F402,Tabelle1!$A$2:$G$496,7,0))</f>
        <v/>
      </c>
      <c r="N402" s="66" t="str">
        <f t="shared" si="23"/>
        <v/>
      </c>
      <c r="O402" s="66" t="str">
        <f>IF(K402="","",((K402*VLOOKUP(F402,Tabelle1!$A$2:$I$496,8,0))/$W$4))</f>
        <v/>
      </c>
      <c r="P402" s="76" t="str">
        <f>IF(K402="","",VLOOKUP(F402,Tabelle1!$A$2:$L$496,12,0))</f>
        <v/>
      </c>
    </row>
    <row r="403" spans="1:16">
      <c r="A403" s="67"/>
      <c r="B403" s="55"/>
      <c r="C403" s="55"/>
      <c r="D403" s="57" t="str">
        <f>IF(K403="","",VLOOKUP(F403,Tabelle1!$A$2:$C$496,3,0))</f>
        <v/>
      </c>
      <c r="E403" s="57" t="str">
        <f>IF(K403="","",VLOOKUP(F403,Tabelle1!$A$2:$M$496,13,0))</f>
        <v/>
      </c>
      <c r="F403" s="56"/>
      <c r="G403" s="57"/>
      <c r="H403" s="57"/>
      <c r="I403" s="57"/>
      <c r="J403" s="57"/>
      <c r="K403" s="57" t="str">
        <f t="shared" si="22"/>
        <v/>
      </c>
      <c r="L403" s="57" t="str">
        <f>IF(K403="","",VLOOKUP(F403,Tabelle1!$A$2:$I$496,9,0))</f>
        <v/>
      </c>
      <c r="M403" s="57" t="str">
        <f>IF(K403="","",VLOOKUP(F403,Tabelle1!$A$2:$G$496,7,0))</f>
        <v/>
      </c>
      <c r="N403" s="66" t="str">
        <f t="shared" si="23"/>
        <v/>
      </c>
      <c r="O403" s="66" t="str">
        <f>IF(K403="","",((K403*VLOOKUP(F403,Tabelle1!$A$2:$I$496,8,0))/$W$4))</f>
        <v/>
      </c>
      <c r="P403" s="76" t="str">
        <f>IF(K403="","",VLOOKUP(F403,Tabelle1!$A$2:$L$496,12,0))</f>
        <v/>
      </c>
    </row>
    <row r="404" spans="1:16">
      <c r="A404" s="67"/>
      <c r="B404" s="55"/>
      <c r="C404" s="55"/>
      <c r="D404" s="57" t="str">
        <f>IF(K404="","",VLOOKUP(F404,Tabelle1!$A$2:$C$496,3,0))</f>
        <v/>
      </c>
      <c r="E404" s="57" t="str">
        <f>IF(K404="","",VLOOKUP(F404,Tabelle1!$A$2:$M$496,13,0))</f>
        <v/>
      </c>
      <c r="F404" s="56"/>
      <c r="G404" s="57"/>
      <c r="H404" s="57"/>
      <c r="I404" s="57"/>
      <c r="J404" s="57"/>
      <c r="K404" s="57" t="str">
        <f t="shared" si="22"/>
        <v/>
      </c>
      <c r="L404" s="57" t="str">
        <f>IF(K404="","",VLOOKUP(F404,Tabelle1!$A$2:$I$496,9,0))</f>
        <v/>
      </c>
      <c r="M404" s="57" t="str">
        <f>IF(K404="","",VLOOKUP(F404,Tabelle1!$A$2:$G$496,7,0))</f>
        <v/>
      </c>
      <c r="N404" s="66" t="str">
        <f t="shared" si="23"/>
        <v/>
      </c>
      <c r="O404" s="66" t="str">
        <f>IF(K404="","",((K404*VLOOKUP(F404,Tabelle1!$A$2:$I$496,8,0))/$W$4))</f>
        <v/>
      </c>
      <c r="P404" s="76" t="str">
        <f>IF(K404="","",VLOOKUP(F404,Tabelle1!$A$2:$L$496,12,0))</f>
        <v/>
      </c>
    </row>
    <row r="405" spans="1:16">
      <c r="A405" s="67"/>
      <c r="B405" s="55"/>
      <c r="C405" s="55"/>
      <c r="D405" s="57" t="str">
        <f>IF(K405="","",VLOOKUP(F405,Tabelle1!$A$2:$C$496,3,0))</f>
        <v/>
      </c>
      <c r="E405" s="57" t="str">
        <f>IF(K405="","",VLOOKUP(F405,Tabelle1!$A$2:$M$496,13,0))</f>
        <v/>
      </c>
      <c r="F405" s="56"/>
      <c r="G405" s="57"/>
      <c r="H405" s="57"/>
      <c r="I405" s="57"/>
      <c r="J405" s="57"/>
      <c r="K405" s="57" t="str">
        <f t="shared" si="22"/>
        <v/>
      </c>
      <c r="L405" s="57" t="str">
        <f>IF(K405="","",VLOOKUP(F405,Tabelle1!$A$2:$I$496,9,0))</f>
        <v/>
      </c>
      <c r="M405" s="57" t="str">
        <f>IF(K405="","",VLOOKUP(F405,Tabelle1!$A$2:$G$496,7,0))</f>
        <v/>
      </c>
      <c r="N405" s="66" t="str">
        <f t="shared" si="23"/>
        <v/>
      </c>
      <c r="O405" s="66" t="str">
        <f>IF(K405="","",((K405*VLOOKUP(F405,Tabelle1!$A$2:$I$496,8,0))/$W$4))</f>
        <v/>
      </c>
      <c r="P405" s="76" t="str">
        <f>IF(K405="","",VLOOKUP(F405,Tabelle1!$A$2:$L$496,12,0))</f>
        <v/>
      </c>
    </row>
    <row r="406" spans="1:16">
      <c r="A406" s="67"/>
      <c r="B406" s="55"/>
      <c r="C406" s="55"/>
      <c r="D406" s="57" t="str">
        <f>IF(K406="","",VLOOKUP(F406,Tabelle1!$A$2:$C$496,3,0))</f>
        <v/>
      </c>
      <c r="E406" s="57" t="str">
        <f>IF(K406="","",VLOOKUP(F406,Tabelle1!$A$2:$M$496,13,0))</f>
        <v/>
      </c>
      <c r="F406" s="56"/>
      <c r="G406" s="57"/>
      <c r="H406" s="57"/>
      <c r="I406" s="57"/>
      <c r="J406" s="57"/>
      <c r="K406" s="57" t="str">
        <f t="shared" si="22"/>
        <v/>
      </c>
      <c r="L406" s="57" t="str">
        <f>IF(K406="","",VLOOKUP(F406,Tabelle1!$A$2:$I$496,9,0))</f>
        <v/>
      </c>
      <c r="M406" s="57" t="str">
        <f>IF(K406="","",VLOOKUP(F406,Tabelle1!$A$2:$G$496,7,0))</f>
        <v/>
      </c>
      <c r="N406" s="66" t="str">
        <f t="shared" si="23"/>
        <v/>
      </c>
      <c r="O406" s="66" t="str">
        <f>IF(K406="","",((K406*VLOOKUP(F406,Tabelle1!$A$2:$I$496,8,0))/$W$4))</f>
        <v/>
      </c>
      <c r="P406" s="76" t="str">
        <f>IF(K406="","",VLOOKUP(F406,Tabelle1!$A$2:$L$496,12,0))</f>
        <v/>
      </c>
    </row>
    <row r="407" spans="1:16">
      <c r="A407" s="67"/>
      <c r="B407" s="55"/>
      <c r="C407" s="55"/>
      <c r="D407" s="57" t="str">
        <f>IF(K407="","",VLOOKUP(F407,Tabelle1!$A$2:$C$496,3,0))</f>
        <v/>
      </c>
      <c r="E407" s="57" t="str">
        <f>IF(K407="","",VLOOKUP(F407,Tabelle1!$A$2:$M$496,13,0))</f>
        <v/>
      </c>
      <c r="F407" s="56"/>
      <c r="G407" s="57"/>
      <c r="H407" s="57"/>
      <c r="I407" s="57"/>
      <c r="J407" s="57"/>
      <c r="K407" s="57" t="str">
        <f t="shared" si="22"/>
        <v/>
      </c>
      <c r="L407" s="57" t="str">
        <f>IF(K407="","",VLOOKUP(F407,Tabelle1!$A$2:$I$496,9,0))</f>
        <v/>
      </c>
      <c r="M407" s="57" t="str">
        <f>IF(K407="","",VLOOKUP(F407,Tabelle1!$A$2:$G$496,7,0))</f>
        <v/>
      </c>
      <c r="N407" s="66" t="str">
        <f t="shared" si="23"/>
        <v/>
      </c>
      <c r="O407" s="66" t="str">
        <f>IF(K407="","",((K407*VLOOKUP(F407,Tabelle1!$A$2:$I$496,8,0))/$W$4))</f>
        <v/>
      </c>
      <c r="P407" s="76" t="str">
        <f>IF(K407="","",VLOOKUP(F407,Tabelle1!$A$2:$L$496,12,0))</f>
        <v/>
      </c>
    </row>
    <row r="408" spans="1:16">
      <c r="A408" s="67"/>
      <c r="B408" s="55"/>
      <c r="C408" s="55"/>
      <c r="D408" s="57" t="str">
        <f>IF(K408="","",VLOOKUP(F408,Tabelle1!$A$2:$C$496,3,0))</f>
        <v/>
      </c>
      <c r="E408" s="57" t="str">
        <f>IF(K408="","",VLOOKUP(F408,Tabelle1!$A$2:$M$496,13,0))</f>
        <v/>
      </c>
      <c r="F408" s="56"/>
      <c r="G408" s="57"/>
      <c r="H408" s="57"/>
      <c r="I408" s="57"/>
      <c r="J408" s="57"/>
      <c r="K408" s="57" t="str">
        <f t="shared" si="22"/>
        <v/>
      </c>
      <c r="L408" s="57" t="str">
        <f>IF(K408="","",VLOOKUP(F408,Tabelle1!$A$2:$I$496,9,0))</f>
        <v/>
      </c>
      <c r="M408" s="57" t="str">
        <f>IF(K408="","",VLOOKUP(F408,Tabelle1!$A$2:$G$496,7,0))</f>
        <v/>
      </c>
      <c r="N408" s="66" t="str">
        <f t="shared" si="23"/>
        <v/>
      </c>
      <c r="O408" s="66" t="str">
        <f>IF(K408="","",((K408*VLOOKUP(F408,Tabelle1!$A$2:$I$496,8,0))/$W$4))</f>
        <v/>
      </c>
      <c r="P408" s="76" t="str">
        <f>IF(K408="","",VLOOKUP(F408,Tabelle1!$A$2:$L$496,12,0))</f>
        <v/>
      </c>
    </row>
    <row r="409" spans="1:16">
      <c r="A409" s="67"/>
      <c r="B409" s="55"/>
      <c r="C409" s="55"/>
      <c r="D409" s="57" t="str">
        <f>IF(K409="","",VLOOKUP(F409,Tabelle1!$A$2:$C$496,3,0))</f>
        <v/>
      </c>
      <c r="E409" s="57" t="str">
        <f>IF(K409="","",VLOOKUP(F409,Tabelle1!$A$2:$M$496,13,0))</f>
        <v/>
      </c>
      <c r="F409" s="56"/>
      <c r="G409" s="57"/>
      <c r="H409" s="57"/>
      <c r="I409" s="57"/>
      <c r="J409" s="57"/>
      <c r="K409" s="57" t="str">
        <f t="shared" si="22"/>
        <v/>
      </c>
      <c r="L409" s="57" t="str">
        <f>IF(K409="","",VLOOKUP(F409,Tabelle1!$A$2:$I$496,9,0))</f>
        <v/>
      </c>
      <c r="M409" s="57" t="str">
        <f>IF(K409="","",VLOOKUP(F409,Tabelle1!$A$2:$G$496,7,0))</f>
        <v/>
      </c>
      <c r="N409" s="66" t="str">
        <f t="shared" si="23"/>
        <v/>
      </c>
      <c r="O409" s="66" t="str">
        <f>IF(K409="","",((K409*VLOOKUP(F409,Tabelle1!$A$2:$I$496,8,0))/$W$4))</f>
        <v/>
      </c>
      <c r="P409" s="76" t="str">
        <f>IF(K409="","",VLOOKUP(F409,Tabelle1!$A$2:$L$496,12,0))</f>
        <v/>
      </c>
    </row>
    <row r="410" spans="1:16">
      <c r="A410" s="67"/>
      <c r="B410" s="55"/>
      <c r="C410" s="55"/>
      <c r="D410" s="57" t="str">
        <f>IF(K410="","",VLOOKUP(F410,Tabelle1!$A$2:$C$496,3,0))</f>
        <v/>
      </c>
      <c r="E410" s="57" t="str">
        <f>IF(K410="","",VLOOKUP(F410,Tabelle1!$A$2:$M$496,13,0))</f>
        <v/>
      </c>
      <c r="F410" s="56"/>
      <c r="G410" s="57"/>
      <c r="H410" s="57"/>
      <c r="I410" s="57"/>
      <c r="J410" s="57"/>
      <c r="K410" s="57" t="str">
        <f t="shared" si="22"/>
        <v/>
      </c>
      <c r="L410" s="57" t="str">
        <f>IF(K410="","",VLOOKUP(F410,Tabelle1!$A$2:$I$496,9,0))</f>
        <v/>
      </c>
      <c r="M410" s="57" t="str">
        <f>IF(K410="","",VLOOKUP(F410,Tabelle1!$A$2:$G$496,7,0))</f>
        <v/>
      </c>
      <c r="N410" s="66" t="str">
        <f t="shared" si="23"/>
        <v/>
      </c>
      <c r="O410" s="66" t="str">
        <f>IF(K410="","",((K410*VLOOKUP(F410,Tabelle1!$A$2:$I$496,8,0))/$W$4))</f>
        <v/>
      </c>
      <c r="P410" s="76" t="str">
        <f>IF(K410="","",VLOOKUP(F410,Tabelle1!$A$2:$L$496,12,0))</f>
        <v/>
      </c>
    </row>
    <row r="411" spans="1:16">
      <c r="A411" s="67"/>
      <c r="B411" s="55"/>
      <c r="C411" s="55"/>
      <c r="D411" s="57" t="str">
        <f>IF(K411="","",VLOOKUP(F411,Tabelle1!$A$2:$C$496,3,0))</f>
        <v/>
      </c>
      <c r="E411" s="57" t="str">
        <f>IF(K411="","",VLOOKUP(F411,Tabelle1!$A$2:$M$496,13,0))</f>
        <v/>
      </c>
      <c r="F411" s="56"/>
      <c r="G411" s="57"/>
      <c r="H411" s="57"/>
      <c r="I411" s="57"/>
      <c r="J411" s="57"/>
      <c r="K411" s="57" t="str">
        <f t="shared" si="22"/>
        <v/>
      </c>
      <c r="L411" s="57" t="str">
        <f>IF(K411="","",VLOOKUP(F411,Tabelle1!$A$2:$I$496,9,0))</f>
        <v/>
      </c>
      <c r="M411" s="57" t="str">
        <f>IF(K411="","",VLOOKUP(F411,Tabelle1!$A$2:$G$496,7,0))</f>
        <v/>
      </c>
      <c r="N411" s="66" t="str">
        <f t="shared" si="23"/>
        <v/>
      </c>
      <c r="O411" s="66" t="str">
        <f>IF(K411="","",((K411*VLOOKUP(F411,Tabelle1!$A$2:$I$496,8,0))/$W$4))</f>
        <v/>
      </c>
      <c r="P411" s="76" t="str">
        <f>IF(K411="","",VLOOKUP(F411,Tabelle1!$A$2:$L$496,12,0))</f>
        <v/>
      </c>
    </row>
    <row r="412" spans="1:16">
      <c r="A412" s="67"/>
      <c r="B412" s="55"/>
      <c r="C412" s="55"/>
      <c r="D412" s="57" t="str">
        <f>IF(K412="","",VLOOKUP(F412,Tabelle1!$A$2:$C$496,3,0))</f>
        <v/>
      </c>
      <c r="E412" s="57" t="str">
        <f>IF(K412="","",VLOOKUP(F412,Tabelle1!$A$2:$M$496,13,0))</f>
        <v/>
      </c>
      <c r="F412" s="56"/>
      <c r="G412" s="57"/>
      <c r="H412" s="57"/>
      <c r="I412" s="57"/>
      <c r="J412" s="57"/>
      <c r="K412" s="57" t="str">
        <f t="shared" si="22"/>
        <v/>
      </c>
      <c r="L412" s="57" t="str">
        <f>IF(K412="","",VLOOKUP(F412,Tabelle1!$A$2:$I$496,9,0))</f>
        <v/>
      </c>
      <c r="M412" s="57" t="str">
        <f>IF(K412="","",VLOOKUP(F412,Tabelle1!$A$2:$G$496,7,0))</f>
        <v/>
      </c>
      <c r="N412" s="66" t="str">
        <f t="shared" si="23"/>
        <v/>
      </c>
      <c r="O412" s="66" t="str">
        <f>IF(K412="","",((K412*VLOOKUP(F412,Tabelle1!$A$2:$I$496,8,0))/$W$4))</f>
        <v/>
      </c>
      <c r="P412" s="76" t="str">
        <f>IF(K412="","",VLOOKUP(F412,Tabelle1!$A$2:$L$496,12,0))</f>
        <v/>
      </c>
    </row>
    <row r="413" spans="1:16">
      <c r="A413" s="67"/>
      <c r="B413" s="55"/>
      <c r="C413" s="55"/>
      <c r="D413" s="57" t="str">
        <f>IF(K413="","",VLOOKUP(F413,Tabelle1!$A$2:$C$496,3,0))</f>
        <v/>
      </c>
      <c r="E413" s="57" t="str">
        <f>IF(K413="","",VLOOKUP(F413,Tabelle1!$A$2:$M$496,13,0))</f>
        <v/>
      </c>
      <c r="F413" s="56"/>
      <c r="G413" s="57"/>
      <c r="H413" s="57"/>
      <c r="I413" s="57"/>
      <c r="J413" s="57"/>
      <c r="K413" s="57" t="str">
        <f t="shared" si="22"/>
        <v/>
      </c>
      <c r="L413" s="57" t="str">
        <f>IF(K413="","",VLOOKUP(F413,Tabelle1!$A$2:$I$496,9,0))</f>
        <v/>
      </c>
      <c r="M413" s="57" t="str">
        <f>IF(K413="","",VLOOKUP(F413,Tabelle1!$A$2:$G$496,7,0))</f>
        <v/>
      </c>
      <c r="N413" s="66" t="str">
        <f t="shared" si="23"/>
        <v/>
      </c>
      <c r="O413" s="66" t="str">
        <f>IF(K413="","",((K413*VLOOKUP(F413,Tabelle1!$A$2:$I$496,8,0))/$W$4))</f>
        <v/>
      </c>
      <c r="P413" s="76" t="str">
        <f>IF(K413="","",VLOOKUP(F413,Tabelle1!$A$2:$L$496,12,0))</f>
        <v/>
      </c>
    </row>
    <row r="414" spans="1:16">
      <c r="A414" s="67"/>
      <c r="B414" s="55"/>
      <c r="C414" s="55"/>
      <c r="D414" s="57" t="str">
        <f>IF(K414="","",VLOOKUP(F414,Tabelle1!$A$2:$C$496,3,0))</f>
        <v/>
      </c>
      <c r="E414" s="57" t="str">
        <f>IF(K414="","",VLOOKUP(F414,Tabelle1!$A$2:$M$496,13,0))</f>
        <v/>
      </c>
      <c r="F414" s="56"/>
      <c r="G414" s="57"/>
      <c r="H414" s="57"/>
      <c r="I414" s="57"/>
      <c r="J414" s="57"/>
      <c r="K414" s="57" t="str">
        <f t="shared" si="22"/>
        <v/>
      </c>
      <c r="L414" s="57" t="str">
        <f>IF(K414="","",VLOOKUP(F414,Tabelle1!$A$2:$I$496,9,0))</f>
        <v/>
      </c>
      <c r="M414" s="57" t="str">
        <f>IF(K414="","",VLOOKUP(F414,Tabelle1!$A$2:$G$496,7,0))</f>
        <v/>
      </c>
      <c r="N414" s="66" t="str">
        <f t="shared" si="23"/>
        <v/>
      </c>
      <c r="O414" s="66" t="str">
        <f>IF(K414="","",((K414*VLOOKUP(F414,Tabelle1!$A$2:$I$496,8,0))/$W$4))</f>
        <v/>
      </c>
      <c r="P414" s="76" t="str">
        <f>IF(K414="","",VLOOKUP(F414,Tabelle1!$A$2:$L$496,12,0))</f>
        <v/>
      </c>
    </row>
    <row r="415" spans="1:16">
      <c r="A415" s="67"/>
      <c r="B415" s="55"/>
      <c r="C415" s="55"/>
      <c r="D415" s="57" t="str">
        <f>IF(K415="","",VLOOKUP(F415,Tabelle1!$A$2:$C$496,3,0))</f>
        <v/>
      </c>
      <c r="E415" s="57" t="str">
        <f>IF(K415="","",VLOOKUP(F415,Tabelle1!$A$2:$M$496,13,0))</f>
        <v/>
      </c>
      <c r="F415" s="56"/>
      <c r="G415" s="57"/>
      <c r="H415" s="57"/>
      <c r="I415" s="57"/>
      <c r="J415" s="57"/>
      <c r="K415" s="57" t="str">
        <f t="shared" si="22"/>
        <v/>
      </c>
      <c r="L415" s="57" t="str">
        <f>IF(K415="","",VLOOKUP(F415,Tabelle1!$A$2:$I$496,9,0))</f>
        <v/>
      </c>
      <c r="M415" s="57" t="str">
        <f>IF(K415="","",VLOOKUP(F415,Tabelle1!$A$2:$G$496,7,0))</f>
        <v/>
      </c>
      <c r="N415" s="66" t="str">
        <f t="shared" si="23"/>
        <v/>
      </c>
      <c r="O415" s="66" t="str">
        <f>IF(K415="","",((K415*VLOOKUP(F415,Tabelle1!$A$2:$I$496,8,0))/$W$4))</f>
        <v/>
      </c>
      <c r="P415" s="76" t="str">
        <f>IF(K415="","",VLOOKUP(F415,Tabelle1!$A$2:$L$496,12,0))</f>
        <v/>
      </c>
    </row>
    <row r="416" spans="1:16">
      <c r="A416" s="67"/>
      <c r="B416" s="55"/>
      <c r="C416" s="55"/>
      <c r="D416" s="57" t="str">
        <f>IF(K416="","",VLOOKUP(F416,Tabelle1!$A$2:$C$496,3,0))</f>
        <v/>
      </c>
      <c r="E416" s="57" t="str">
        <f>IF(K416="","",VLOOKUP(F416,Tabelle1!$A$2:$M$496,13,0))</f>
        <v/>
      </c>
      <c r="F416" s="56"/>
      <c r="G416" s="57"/>
      <c r="H416" s="57"/>
      <c r="I416" s="57"/>
      <c r="J416" s="57"/>
      <c r="K416" s="57" t="str">
        <f t="shared" si="22"/>
        <v/>
      </c>
      <c r="L416" s="57" t="str">
        <f>IF(K416="","",VLOOKUP(F416,Tabelle1!$A$2:$I$496,9,0))</f>
        <v/>
      </c>
      <c r="M416" s="57" t="str">
        <f>IF(K416="","",VLOOKUP(F416,Tabelle1!$A$2:$G$496,7,0))</f>
        <v/>
      </c>
      <c r="N416" s="66" t="str">
        <f t="shared" si="23"/>
        <v/>
      </c>
      <c r="O416" s="66" t="str">
        <f>IF(K416="","",((K416*VLOOKUP(F416,Tabelle1!$A$2:$I$496,8,0))/$W$4))</f>
        <v/>
      </c>
      <c r="P416" s="76" t="str">
        <f>IF(K416="","",VLOOKUP(F416,Tabelle1!$A$2:$L$496,12,0))</f>
        <v/>
      </c>
    </row>
    <row r="417" spans="1:16">
      <c r="A417" s="67"/>
      <c r="B417" s="55"/>
      <c r="C417" s="55"/>
      <c r="D417" s="57" t="str">
        <f>IF(K417="","",VLOOKUP(F417,Tabelle1!$A$2:$C$496,3,0))</f>
        <v/>
      </c>
      <c r="E417" s="57" t="str">
        <f>IF(K417="","",VLOOKUP(F417,Tabelle1!$A$2:$M$496,13,0))</f>
        <v/>
      </c>
      <c r="F417" s="56"/>
      <c r="G417" s="57"/>
      <c r="H417" s="57"/>
      <c r="I417" s="57"/>
      <c r="J417" s="57"/>
      <c r="K417" s="57" t="str">
        <f t="shared" si="22"/>
        <v/>
      </c>
      <c r="L417" s="57" t="str">
        <f>IF(K417="","",VLOOKUP(F417,Tabelle1!$A$2:$I$496,9,0))</f>
        <v/>
      </c>
      <c r="M417" s="57" t="str">
        <f>IF(K417="","",VLOOKUP(F417,Tabelle1!$A$2:$G$496,7,0))</f>
        <v/>
      </c>
      <c r="N417" s="66" t="str">
        <f t="shared" si="23"/>
        <v/>
      </c>
      <c r="O417" s="66" t="str">
        <f>IF(K417="","",((K417*VLOOKUP(F417,Tabelle1!$A$2:$I$496,8,0))/$W$4))</f>
        <v/>
      </c>
      <c r="P417" s="76" t="str">
        <f>IF(K417="","",VLOOKUP(F417,Tabelle1!$A$2:$L$496,12,0))</f>
        <v/>
      </c>
    </row>
    <row r="418" spans="1:16">
      <c r="A418" s="67"/>
      <c r="B418" s="55"/>
      <c r="C418" s="55"/>
      <c r="D418" s="57" t="str">
        <f>IF(K418="","",VLOOKUP(F418,Tabelle1!$A$2:$C$496,3,0))</f>
        <v/>
      </c>
      <c r="E418" s="57" t="str">
        <f>IF(K418="","",VLOOKUP(F418,Tabelle1!$A$2:$M$496,13,0))</f>
        <v/>
      </c>
      <c r="F418" s="56"/>
      <c r="G418" s="57"/>
      <c r="H418" s="57"/>
      <c r="I418" s="57"/>
      <c r="J418" s="57"/>
      <c r="K418" s="57" t="str">
        <f t="shared" si="22"/>
        <v/>
      </c>
      <c r="L418" s="57" t="str">
        <f>IF(K418="","",VLOOKUP(F418,Tabelle1!$A$2:$I$496,9,0))</f>
        <v/>
      </c>
      <c r="M418" s="57" t="str">
        <f>IF(K418="","",VLOOKUP(F418,Tabelle1!$A$2:$G$496,7,0))</f>
        <v/>
      </c>
      <c r="N418" s="66" t="str">
        <f t="shared" si="23"/>
        <v/>
      </c>
      <c r="O418" s="66" t="str">
        <f>IF(K418="","",((K418*VLOOKUP(F418,Tabelle1!$A$2:$I$496,8,0))/$W$4))</f>
        <v/>
      </c>
      <c r="P418" s="76" t="str">
        <f>IF(K418="","",VLOOKUP(F418,Tabelle1!$A$2:$L$496,12,0))</f>
        <v/>
      </c>
    </row>
    <row r="419" spans="1:16">
      <c r="A419" s="67"/>
      <c r="B419" s="55"/>
      <c r="C419" s="55"/>
      <c r="D419" s="57" t="str">
        <f>IF(K419="","",VLOOKUP(F419,Tabelle1!$A$2:$C$496,3,0))</f>
        <v/>
      </c>
      <c r="E419" s="57" t="str">
        <f>IF(K419="","",VLOOKUP(F419,Tabelle1!$A$2:$M$496,13,0))</f>
        <v/>
      </c>
      <c r="F419" s="56"/>
      <c r="G419" s="57"/>
      <c r="H419" s="57"/>
      <c r="I419" s="57"/>
      <c r="J419" s="57"/>
      <c r="K419" s="57" t="str">
        <f t="shared" si="22"/>
        <v/>
      </c>
      <c r="L419" s="57" t="str">
        <f>IF(K419="","",VLOOKUP(F419,Tabelle1!$A$2:$I$496,9,0))</f>
        <v/>
      </c>
      <c r="M419" s="57" t="str">
        <f>IF(K419="","",VLOOKUP(F419,Tabelle1!$A$2:$G$496,7,0))</f>
        <v/>
      </c>
      <c r="N419" s="66" t="str">
        <f t="shared" si="23"/>
        <v/>
      </c>
      <c r="O419" s="66" t="str">
        <f>IF(K419="","",((K419*VLOOKUP(F419,Tabelle1!$A$2:$I$496,8,0))/$W$4))</f>
        <v/>
      </c>
      <c r="P419" s="76" t="str">
        <f>IF(K419="","",VLOOKUP(F419,Tabelle1!$A$2:$L$496,12,0))</f>
        <v/>
      </c>
    </row>
    <row r="420" spans="1:16">
      <c r="A420" s="67"/>
      <c r="B420" s="55"/>
      <c r="C420" s="55"/>
      <c r="D420" s="57" t="str">
        <f>IF(K420="","",VLOOKUP(F420,Tabelle1!$A$2:$C$496,3,0))</f>
        <v/>
      </c>
      <c r="E420" s="57" t="str">
        <f>IF(K420="","",VLOOKUP(F420,Tabelle1!$A$2:$M$496,13,0))</f>
        <v/>
      </c>
      <c r="F420" s="56"/>
      <c r="G420" s="57"/>
      <c r="H420" s="57"/>
      <c r="I420" s="57"/>
      <c r="J420" s="57"/>
      <c r="K420" s="57" t="str">
        <f t="shared" si="22"/>
        <v/>
      </c>
      <c r="L420" s="57" t="str">
        <f>IF(K420="","",VLOOKUP(F420,Tabelle1!$A$2:$I$496,9,0))</f>
        <v/>
      </c>
      <c r="M420" s="57" t="str">
        <f>IF(K420="","",VLOOKUP(F420,Tabelle1!$A$2:$G$496,7,0))</f>
        <v/>
      </c>
      <c r="N420" s="66" t="str">
        <f t="shared" si="23"/>
        <v/>
      </c>
      <c r="O420" s="66" t="str">
        <f>IF(K420="","",((K420*VLOOKUP(F420,Tabelle1!$A$2:$I$496,8,0))/$W$4))</f>
        <v/>
      </c>
      <c r="P420" s="76" t="str">
        <f>IF(K420="","",VLOOKUP(F420,Tabelle1!$A$2:$L$496,12,0))</f>
        <v/>
      </c>
    </row>
    <row r="421" spans="1:16">
      <c r="A421" s="67"/>
      <c r="B421" s="55"/>
      <c r="C421" s="55"/>
      <c r="D421" s="57" t="str">
        <f>IF(K421="","",VLOOKUP(F421,Tabelle1!$A$2:$C$496,3,0))</f>
        <v/>
      </c>
      <c r="E421" s="57" t="str">
        <f>IF(K421="","",VLOOKUP(F421,Tabelle1!$A$2:$M$496,13,0))</f>
        <v/>
      </c>
      <c r="F421" s="56"/>
      <c r="G421" s="57"/>
      <c r="H421" s="57"/>
      <c r="I421" s="57"/>
      <c r="J421" s="57"/>
      <c r="K421" s="57" t="str">
        <f t="shared" si="22"/>
        <v/>
      </c>
      <c r="L421" s="57" t="str">
        <f>IF(K421="","",VLOOKUP(F421,Tabelle1!$A$2:$I$496,9,0))</f>
        <v/>
      </c>
      <c r="M421" s="57" t="str">
        <f>IF(K421="","",VLOOKUP(F421,Tabelle1!$A$2:$G$496,7,0))</f>
        <v/>
      </c>
      <c r="N421" s="66" t="str">
        <f t="shared" si="23"/>
        <v/>
      </c>
      <c r="O421" s="66" t="str">
        <f>IF(K421="","",((K421*VLOOKUP(F421,Tabelle1!$A$2:$I$496,8,0))/$W$4))</f>
        <v/>
      </c>
      <c r="P421" s="76" t="str">
        <f>IF(K421="","",VLOOKUP(F421,Tabelle1!$A$2:$L$496,12,0))</f>
        <v/>
      </c>
    </row>
    <row r="422" spans="1:16">
      <c r="A422" s="67"/>
      <c r="B422" s="55"/>
      <c r="C422" s="55"/>
      <c r="D422" s="57" t="str">
        <f>IF(K422="","",VLOOKUP(F422,Tabelle1!$A$2:$C$496,3,0))</f>
        <v/>
      </c>
      <c r="E422" s="57" t="str">
        <f>IF(K422="","",VLOOKUP(F422,Tabelle1!$A$2:$M$496,13,0))</f>
        <v/>
      </c>
      <c r="F422" s="56"/>
      <c r="G422" s="57"/>
      <c r="H422" s="57"/>
      <c r="I422" s="57"/>
      <c r="J422" s="57"/>
      <c r="K422" s="57" t="str">
        <f t="shared" si="22"/>
        <v/>
      </c>
      <c r="L422" s="57" t="str">
        <f>IF(K422="","",VLOOKUP(F422,Tabelle1!$A$2:$I$496,9,0))</f>
        <v/>
      </c>
      <c r="M422" s="57" t="str">
        <f>IF(K422="","",VLOOKUP(F422,Tabelle1!$A$2:$G$496,7,0))</f>
        <v/>
      </c>
      <c r="N422" s="66" t="str">
        <f t="shared" si="23"/>
        <v/>
      </c>
      <c r="O422" s="66" t="str">
        <f>IF(K422="","",((K422*VLOOKUP(F422,Tabelle1!$A$2:$I$496,8,0))/$W$4))</f>
        <v/>
      </c>
      <c r="P422" s="76" t="str">
        <f>IF(K422="","",VLOOKUP(F422,Tabelle1!$A$2:$L$496,12,0))</f>
        <v/>
      </c>
    </row>
    <row r="423" spans="1:16">
      <c r="A423" s="67"/>
      <c r="B423" s="55"/>
      <c r="C423" s="55"/>
      <c r="D423" s="57" t="str">
        <f>IF(K423="","",VLOOKUP(F423,Tabelle1!$A$2:$C$496,3,0))</f>
        <v/>
      </c>
      <c r="E423" s="57" t="str">
        <f>IF(K423="","",VLOOKUP(F423,Tabelle1!$A$2:$M$496,13,0))</f>
        <v/>
      </c>
      <c r="F423" s="56"/>
      <c r="G423" s="57"/>
      <c r="H423" s="57"/>
      <c r="I423" s="57"/>
      <c r="J423" s="57"/>
      <c r="K423" s="57" t="str">
        <f t="shared" si="22"/>
        <v/>
      </c>
      <c r="L423" s="57" t="str">
        <f>IF(K423="","",VLOOKUP(F423,Tabelle1!$A$2:$I$496,9,0))</f>
        <v/>
      </c>
      <c r="M423" s="57" t="str">
        <f>IF(K423="","",VLOOKUP(F423,Tabelle1!$A$2:$G$496,7,0))</f>
        <v/>
      </c>
      <c r="N423" s="66" t="str">
        <f t="shared" si="23"/>
        <v/>
      </c>
      <c r="O423" s="66" t="str">
        <f>IF(K423="","",((K423*VLOOKUP(F423,Tabelle1!$A$2:$I$496,8,0))/$W$4))</f>
        <v/>
      </c>
      <c r="P423" s="76" t="str">
        <f>IF(K423="","",VLOOKUP(F423,Tabelle1!$A$2:$L$496,12,0))</f>
        <v/>
      </c>
    </row>
    <row r="424" spans="1:16">
      <c r="A424" s="67"/>
      <c r="B424" s="55"/>
      <c r="C424" s="55"/>
      <c r="D424" s="57" t="str">
        <f>IF(K424="","",VLOOKUP(F424,Tabelle1!$A$2:$C$496,3,0))</f>
        <v/>
      </c>
      <c r="E424" s="57" t="str">
        <f>IF(K424="","",VLOOKUP(F424,Tabelle1!$A$2:$M$496,13,0))</f>
        <v/>
      </c>
      <c r="F424" s="56"/>
      <c r="G424" s="57"/>
      <c r="H424" s="57"/>
      <c r="I424" s="57"/>
      <c r="J424" s="57"/>
      <c r="K424" s="57" t="str">
        <f t="shared" si="22"/>
        <v/>
      </c>
      <c r="L424" s="57" t="str">
        <f>IF(K424="","",VLOOKUP(F424,Tabelle1!$A$2:$I$496,9,0))</f>
        <v/>
      </c>
      <c r="M424" s="57" t="str">
        <f>IF(K424="","",VLOOKUP(F424,Tabelle1!$A$2:$G$496,7,0))</f>
        <v/>
      </c>
      <c r="N424" s="66" t="str">
        <f t="shared" si="23"/>
        <v/>
      </c>
      <c r="O424" s="66" t="str">
        <f>IF(K424="","",((K424*VLOOKUP(F424,Tabelle1!$A$2:$I$496,8,0))/$W$4))</f>
        <v/>
      </c>
      <c r="P424" s="76" t="str">
        <f>IF(K424="","",VLOOKUP(F424,Tabelle1!$A$2:$L$496,12,0))</f>
        <v/>
      </c>
    </row>
    <row r="425" spans="1:16">
      <c r="A425" s="67"/>
      <c r="B425" s="55"/>
      <c r="C425" s="55"/>
      <c r="D425" s="57" t="str">
        <f>IF(K425="","",VLOOKUP(F425,Tabelle1!$A$2:$C$496,3,0))</f>
        <v/>
      </c>
      <c r="E425" s="57" t="str">
        <f>IF(K425="","",VLOOKUP(F425,Tabelle1!$A$2:$M$496,13,0))</f>
        <v/>
      </c>
      <c r="F425" s="56"/>
      <c r="G425" s="57"/>
      <c r="H425" s="57"/>
      <c r="I425" s="57"/>
      <c r="J425" s="57"/>
      <c r="K425" s="57" t="str">
        <f t="shared" si="22"/>
        <v/>
      </c>
      <c r="L425" s="57" t="str">
        <f>IF(K425="","",VLOOKUP(F425,Tabelle1!$A$2:$I$496,9,0))</f>
        <v/>
      </c>
      <c r="M425" s="57" t="str">
        <f>IF(K425="","",VLOOKUP(F425,Tabelle1!$A$2:$G$496,7,0))</f>
        <v/>
      </c>
      <c r="N425" s="66" t="str">
        <f t="shared" si="23"/>
        <v/>
      </c>
      <c r="O425" s="66" t="str">
        <f>IF(K425="","",((K425*VLOOKUP(F425,Tabelle1!$A$2:$I$496,8,0))/$W$4))</f>
        <v/>
      </c>
      <c r="P425" s="76" t="str">
        <f>IF(K425="","",VLOOKUP(F425,Tabelle1!$A$2:$L$496,12,0))</f>
        <v/>
      </c>
    </row>
    <row r="426" spans="1:16">
      <c r="A426" s="67"/>
      <c r="B426" s="55"/>
      <c r="C426" s="55"/>
      <c r="D426" s="57" t="str">
        <f>IF(K426="","",VLOOKUP(F426,Tabelle1!$A$2:$C$496,3,0))</f>
        <v/>
      </c>
      <c r="E426" s="57" t="str">
        <f>IF(K426="","",VLOOKUP(F426,Tabelle1!$A$2:$M$496,13,0))</f>
        <v/>
      </c>
      <c r="F426" s="56"/>
      <c r="G426" s="57"/>
      <c r="H426" s="57"/>
      <c r="I426" s="57"/>
      <c r="J426" s="57"/>
      <c r="K426" s="57" t="str">
        <f t="shared" si="22"/>
        <v/>
      </c>
      <c r="L426" s="57" t="str">
        <f>IF(K426="","",VLOOKUP(F426,Tabelle1!$A$2:$I$496,9,0))</f>
        <v/>
      </c>
      <c r="M426" s="57" t="str">
        <f>IF(K426="","",VLOOKUP(F426,Tabelle1!$A$2:$G$496,7,0))</f>
        <v/>
      </c>
      <c r="N426" s="66" t="str">
        <f t="shared" si="23"/>
        <v/>
      </c>
      <c r="O426" s="66" t="str">
        <f>IF(K426="","",((K426*VLOOKUP(F426,Tabelle1!$A$2:$I$496,8,0))/$W$4))</f>
        <v/>
      </c>
      <c r="P426" s="76" t="str">
        <f>IF(K426="","",VLOOKUP(F426,Tabelle1!$A$2:$L$496,12,0))</f>
        <v/>
      </c>
    </row>
    <row r="427" spans="1:16">
      <c r="A427" s="67"/>
      <c r="B427" s="55"/>
      <c r="C427" s="55"/>
      <c r="D427" s="57" t="str">
        <f>IF(K427="","",VLOOKUP(F427,Tabelle1!$A$2:$C$496,3,0))</f>
        <v/>
      </c>
      <c r="E427" s="57" t="str">
        <f>IF(K427="","",VLOOKUP(F427,Tabelle1!$A$2:$M$496,13,0))</f>
        <v/>
      </c>
      <c r="F427" s="56"/>
      <c r="G427" s="57"/>
      <c r="H427" s="57"/>
      <c r="I427" s="57"/>
      <c r="J427" s="57"/>
      <c r="K427" s="57" t="str">
        <f t="shared" si="22"/>
        <v/>
      </c>
      <c r="L427" s="57" t="str">
        <f>IF(K427="","",VLOOKUP(F427,Tabelle1!$A$2:$I$496,9,0))</f>
        <v/>
      </c>
      <c r="M427" s="57" t="str">
        <f>IF(K427="","",VLOOKUP(F427,Tabelle1!$A$2:$G$496,7,0))</f>
        <v/>
      </c>
      <c r="N427" s="66" t="str">
        <f t="shared" si="23"/>
        <v/>
      </c>
      <c r="O427" s="66" t="str">
        <f>IF(K427="","",((K427*VLOOKUP(F427,Tabelle1!$A$2:$I$496,8,0))/$W$4))</f>
        <v/>
      </c>
      <c r="P427" s="76" t="str">
        <f>IF(K427="","",VLOOKUP(F427,Tabelle1!$A$2:$L$496,12,0))</f>
        <v/>
      </c>
    </row>
    <row r="428" spans="1:16">
      <c r="A428" s="67"/>
      <c r="B428" s="55"/>
      <c r="C428" s="55"/>
      <c r="D428" s="57" t="str">
        <f>IF(K428="","",VLOOKUP(F428,Tabelle1!$A$2:$C$496,3,0))</f>
        <v/>
      </c>
      <c r="E428" s="57" t="str">
        <f>IF(K428="","",VLOOKUP(F428,Tabelle1!$A$2:$M$496,13,0))</f>
        <v/>
      </c>
      <c r="F428" s="56"/>
      <c r="G428" s="57"/>
      <c r="H428" s="57"/>
      <c r="I428" s="57"/>
      <c r="J428" s="57"/>
      <c r="K428" s="57" t="str">
        <f t="shared" si="22"/>
        <v/>
      </c>
      <c r="L428" s="57" t="str">
        <f>IF(K428="","",VLOOKUP(F428,Tabelle1!$A$2:$I$496,9,0))</f>
        <v/>
      </c>
      <c r="M428" s="57" t="str">
        <f>IF(K428="","",VLOOKUP(F428,Tabelle1!$A$2:$G$496,7,0))</f>
        <v/>
      </c>
      <c r="N428" s="66" t="str">
        <f t="shared" si="23"/>
        <v/>
      </c>
      <c r="O428" s="66" t="str">
        <f>IF(K428="","",((K428*VLOOKUP(F428,Tabelle1!$A$2:$I$496,8,0))/$W$4))</f>
        <v/>
      </c>
      <c r="P428" s="76" t="str">
        <f>IF(K428="","",VLOOKUP(F428,Tabelle1!$A$2:$L$496,12,0))</f>
        <v/>
      </c>
    </row>
    <row r="429" spans="1:16">
      <c r="A429" s="67"/>
      <c r="B429" s="55"/>
      <c r="C429" s="55"/>
      <c r="D429" s="57" t="str">
        <f>IF(K429="","",VLOOKUP(F429,Tabelle1!$A$2:$C$496,3,0))</f>
        <v/>
      </c>
      <c r="E429" s="57" t="str">
        <f>IF(K429="","",VLOOKUP(F429,Tabelle1!$A$2:$M$496,13,0))</f>
        <v/>
      </c>
      <c r="F429" s="56"/>
      <c r="G429" s="57"/>
      <c r="H429" s="57"/>
      <c r="I429" s="57"/>
      <c r="J429" s="57"/>
      <c r="K429" s="57" t="str">
        <f t="shared" si="22"/>
        <v/>
      </c>
      <c r="L429" s="57" t="str">
        <f>IF(K429="","",VLOOKUP(F429,Tabelle1!$A$2:$I$496,9,0))</f>
        <v/>
      </c>
      <c r="M429" s="57" t="str">
        <f>IF(K429="","",VLOOKUP(F429,Tabelle1!$A$2:$G$496,7,0))</f>
        <v/>
      </c>
      <c r="N429" s="66" t="str">
        <f t="shared" si="23"/>
        <v/>
      </c>
      <c r="O429" s="66" t="str">
        <f>IF(K429="","",((K429*VLOOKUP(F429,Tabelle1!$A$2:$I$496,8,0))/$W$4))</f>
        <v/>
      </c>
      <c r="P429" s="76" t="str">
        <f>IF(K429="","",VLOOKUP(F429,Tabelle1!$A$2:$L$496,12,0))</f>
        <v/>
      </c>
    </row>
    <row r="430" spans="1:16">
      <c r="A430" s="67"/>
      <c r="B430" s="55"/>
      <c r="C430" s="55"/>
      <c r="D430" s="57" t="str">
        <f>IF(K430="","",VLOOKUP(F430,Tabelle1!$A$2:$C$496,3,0))</f>
        <v/>
      </c>
      <c r="E430" s="57" t="str">
        <f>IF(K430="","",VLOOKUP(F430,Tabelle1!$A$2:$M$496,13,0))</f>
        <v/>
      </c>
      <c r="F430" s="56"/>
      <c r="G430" s="57"/>
      <c r="H430" s="57"/>
      <c r="I430" s="57"/>
      <c r="J430" s="57"/>
      <c r="K430" s="57" t="str">
        <f t="shared" si="22"/>
        <v/>
      </c>
      <c r="L430" s="57" t="str">
        <f>IF(K430="","",VLOOKUP(F430,Tabelle1!$A$2:$I$496,9,0))</f>
        <v/>
      </c>
      <c r="M430" s="57" t="str">
        <f>IF(K430="","",VLOOKUP(F430,Tabelle1!$A$2:$G$496,7,0))</f>
        <v/>
      </c>
      <c r="N430" s="66" t="str">
        <f t="shared" si="23"/>
        <v/>
      </c>
      <c r="O430" s="66" t="str">
        <f>IF(K430="","",((K430*VLOOKUP(F430,Tabelle1!$A$2:$I$496,8,0))/$W$4))</f>
        <v/>
      </c>
      <c r="P430" s="76" t="str">
        <f>IF(K430="","",VLOOKUP(F430,Tabelle1!$A$2:$L$496,12,0))</f>
        <v/>
      </c>
    </row>
    <row r="431" spans="1:16">
      <c r="A431" s="67"/>
      <c r="B431" s="55"/>
      <c r="C431" s="55"/>
      <c r="D431" s="57" t="str">
        <f>IF(K431="","",VLOOKUP(F431,Tabelle1!$A$2:$C$496,3,0))</f>
        <v/>
      </c>
      <c r="E431" s="57" t="str">
        <f>IF(K431="","",VLOOKUP(F431,Tabelle1!$A$2:$M$496,13,0))</f>
        <v/>
      </c>
      <c r="F431" s="56"/>
      <c r="G431" s="57"/>
      <c r="H431" s="57"/>
      <c r="I431" s="57"/>
      <c r="J431" s="57"/>
      <c r="K431" s="57" t="str">
        <f t="shared" si="22"/>
        <v/>
      </c>
      <c r="L431" s="57" t="str">
        <f>IF(K431="","",VLOOKUP(F431,Tabelle1!$A$2:$I$496,9,0))</f>
        <v/>
      </c>
      <c r="M431" s="57" t="str">
        <f>IF(K431="","",VLOOKUP(F431,Tabelle1!$A$2:$G$496,7,0))</f>
        <v/>
      </c>
      <c r="N431" s="66" t="str">
        <f t="shared" si="23"/>
        <v/>
      </c>
      <c r="O431" s="66" t="str">
        <f>IF(K431="","",((K431*VLOOKUP(F431,Tabelle1!$A$2:$I$496,8,0))/$W$4))</f>
        <v/>
      </c>
      <c r="P431" s="76" t="str">
        <f>IF(K431="","",VLOOKUP(F431,Tabelle1!$A$2:$L$496,12,0))</f>
        <v/>
      </c>
    </row>
    <row r="432" spans="1:16">
      <c r="A432" s="67"/>
      <c r="B432" s="55"/>
      <c r="C432" s="55"/>
      <c r="D432" s="57" t="str">
        <f>IF(K432="","",VLOOKUP(F432,Tabelle1!$A$2:$C$496,3,0))</f>
        <v/>
      </c>
      <c r="E432" s="57" t="str">
        <f>IF(K432="","",VLOOKUP(F432,Tabelle1!$A$2:$M$496,13,0))</f>
        <v/>
      </c>
      <c r="F432" s="56"/>
      <c r="G432" s="57"/>
      <c r="H432" s="57"/>
      <c r="I432" s="57"/>
      <c r="J432" s="57"/>
      <c r="K432" s="57" t="str">
        <f t="shared" si="22"/>
        <v/>
      </c>
      <c r="L432" s="57" t="str">
        <f>IF(K432="","",VLOOKUP(F432,Tabelle1!$A$2:$I$496,9,0))</f>
        <v/>
      </c>
      <c r="M432" s="57" t="str">
        <f>IF(K432="","",VLOOKUP(F432,Tabelle1!$A$2:$G$496,7,0))</f>
        <v/>
      </c>
      <c r="N432" s="66" t="str">
        <f t="shared" si="23"/>
        <v/>
      </c>
      <c r="O432" s="66" t="str">
        <f>IF(K432="","",((K432*VLOOKUP(F432,Tabelle1!$A$2:$I$496,8,0))/$W$4))</f>
        <v/>
      </c>
      <c r="P432" s="76" t="str">
        <f>IF(K432="","",VLOOKUP(F432,Tabelle1!$A$2:$L$496,12,0))</f>
        <v/>
      </c>
    </row>
    <row r="433" spans="1:16">
      <c r="A433" s="67"/>
      <c r="B433" s="55"/>
      <c r="C433" s="55"/>
      <c r="D433" s="57" t="str">
        <f>IF(K433="","",VLOOKUP(F433,Tabelle1!$A$2:$C$496,3,0))</f>
        <v/>
      </c>
      <c r="E433" s="57" t="str">
        <f>IF(K433="","",VLOOKUP(F433,Tabelle1!$A$2:$M$496,13,0))</f>
        <v/>
      </c>
      <c r="F433" s="56"/>
      <c r="G433" s="57"/>
      <c r="H433" s="57"/>
      <c r="I433" s="57"/>
      <c r="J433" s="57"/>
      <c r="K433" s="57" t="str">
        <f t="shared" si="22"/>
        <v/>
      </c>
      <c r="L433" s="57" t="str">
        <f>IF(K433="","",VLOOKUP(F433,Tabelle1!$A$2:$I$496,9,0))</f>
        <v/>
      </c>
      <c r="M433" s="57" t="str">
        <f>IF(K433="","",VLOOKUP(F433,Tabelle1!$A$2:$G$496,7,0))</f>
        <v/>
      </c>
      <c r="N433" s="66" t="str">
        <f t="shared" si="23"/>
        <v/>
      </c>
      <c r="O433" s="66" t="str">
        <f>IF(K433="","",((K433*VLOOKUP(F433,Tabelle1!$A$2:$I$496,8,0))/$W$4))</f>
        <v/>
      </c>
      <c r="P433" s="76" t="str">
        <f>IF(K433="","",VLOOKUP(F433,Tabelle1!$A$2:$L$496,12,0))</f>
        <v/>
      </c>
    </row>
    <row r="434" spans="1:16">
      <c r="A434" s="67"/>
      <c r="B434" s="55"/>
      <c r="C434" s="55"/>
      <c r="D434" s="57" t="str">
        <f>IF(K434="","",VLOOKUP(F434,Tabelle1!$A$2:$C$496,3,0))</f>
        <v/>
      </c>
      <c r="E434" s="57" t="str">
        <f>IF(K434="","",VLOOKUP(F434,Tabelle1!$A$2:$M$496,13,0))</f>
        <v/>
      </c>
      <c r="F434" s="56"/>
      <c r="G434" s="57"/>
      <c r="H434" s="57"/>
      <c r="I434" s="57"/>
      <c r="J434" s="57"/>
      <c r="K434" s="57" t="str">
        <f t="shared" si="22"/>
        <v/>
      </c>
      <c r="L434" s="57" t="str">
        <f>IF(K434="","",VLOOKUP(F434,Tabelle1!$A$2:$I$496,9,0))</f>
        <v/>
      </c>
      <c r="M434" s="57" t="str">
        <f>IF(K434="","",VLOOKUP(F434,Tabelle1!$A$2:$G$496,7,0))</f>
        <v/>
      </c>
      <c r="N434" s="66" t="str">
        <f t="shared" si="23"/>
        <v/>
      </c>
      <c r="O434" s="66" t="str">
        <f>IF(K434="","",((K434*VLOOKUP(F434,Tabelle1!$A$2:$I$496,8,0))/$W$4))</f>
        <v/>
      </c>
      <c r="P434" s="76" t="str">
        <f>IF(K434="","",VLOOKUP(F434,Tabelle1!$A$2:$L$496,12,0))</f>
        <v/>
      </c>
    </row>
    <row r="435" spans="1:16">
      <c r="A435" s="67"/>
      <c r="B435" s="55"/>
      <c r="C435" s="55"/>
      <c r="D435" s="57" t="str">
        <f>IF(K435="","",VLOOKUP(F435,Tabelle1!$A$2:$C$496,3,0))</f>
        <v/>
      </c>
      <c r="E435" s="57" t="str">
        <f>IF(K435="","",VLOOKUP(F435,Tabelle1!$A$2:$M$496,13,0))</f>
        <v/>
      </c>
      <c r="F435" s="56"/>
      <c r="G435" s="57"/>
      <c r="H435" s="57"/>
      <c r="I435" s="57"/>
      <c r="J435" s="57"/>
      <c r="K435" s="57" t="str">
        <f t="shared" si="22"/>
        <v/>
      </c>
      <c r="L435" s="57" t="str">
        <f>IF(K435="","",VLOOKUP(F435,Tabelle1!$A$2:$I$496,9,0))</f>
        <v/>
      </c>
      <c r="M435" s="57" t="str">
        <f>IF(K435="","",VLOOKUP(F435,Tabelle1!$A$2:$G$496,7,0))</f>
        <v/>
      </c>
      <c r="N435" s="66" t="str">
        <f t="shared" si="23"/>
        <v/>
      </c>
      <c r="O435" s="66" t="str">
        <f>IF(K435="","",((K435*VLOOKUP(F435,Tabelle1!$A$2:$I$496,8,0))/$W$4))</f>
        <v/>
      </c>
      <c r="P435" s="76" t="str">
        <f>IF(K435="","",VLOOKUP(F435,Tabelle1!$A$2:$L$496,12,0))</f>
        <v/>
      </c>
    </row>
    <row r="436" spans="1:16">
      <c r="A436" s="67"/>
      <c r="B436" s="55"/>
      <c r="C436" s="55"/>
      <c r="D436" s="57" t="str">
        <f>IF(K436="","",VLOOKUP(F436,Tabelle1!$A$2:$C$496,3,0))</f>
        <v/>
      </c>
      <c r="E436" s="57" t="str">
        <f>IF(K436="","",VLOOKUP(F436,Tabelle1!$A$2:$M$496,13,0))</f>
        <v/>
      </c>
      <c r="F436" s="56"/>
      <c r="G436" s="57"/>
      <c r="H436" s="57"/>
      <c r="I436" s="57"/>
      <c r="J436" s="57"/>
      <c r="K436" s="57" t="str">
        <f t="shared" si="22"/>
        <v/>
      </c>
      <c r="L436" s="57" t="str">
        <f>IF(K436="","",VLOOKUP(F436,Tabelle1!$A$2:$I$496,9,0))</f>
        <v/>
      </c>
      <c r="M436" s="57" t="str">
        <f>IF(K436="","",VLOOKUP(F436,Tabelle1!$A$2:$G$496,7,0))</f>
        <v/>
      </c>
      <c r="N436" s="66" t="str">
        <f t="shared" si="23"/>
        <v/>
      </c>
      <c r="O436" s="66" t="str">
        <f>IF(K436="","",((K436*VLOOKUP(F436,Tabelle1!$A$2:$I$496,8,0))/$W$4))</f>
        <v/>
      </c>
      <c r="P436" s="76" t="str">
        <f>IF(K436="","",VLOOKUP(F436,Tabelle1!$A$2:$L$496,12,0))</f>
        <v/>
      </c>
    </row>
    <row r="437" spans="1:16">
      <c r="A437" s="67"/>
      <c r="B437" s="55"/>
      <c r="C437" s="55"/>
      <c r="D437" s="57" t="str">
        <f>IF(K437="","",VLOOKUP(F437,Tabelle1!$A$2:$C$496,3,0))</f>
        <v/>
      </c>
      <c r="E437" s="57" t="str">
        <f>IF(K437="","",VLOOKUP(F437,Tabelle1!$A$2:$M$496,13,0))</f>
        <v/>
      </c>
      <c r="F437" s="56"/>
      <c r="G437" s="57"/>
      <c r="H437" s="57"/>
      <c r="I437" s="57"/>
      <c r="J437" s="57"/>
      <c r="K437" s="57" t="str">
        <f t="shared" si="22"/>
        <v/>
      </c>
      <c r="L437" s="57" t="str">
        <f>IF(K437="","",VLOOKUP(F437,Tabelle1!$A$2:$I$496,9,0))</f>
        <v/>
      </c>
      <c r="M437" s="57" t="str">
        <f>IF(K437="","",VLOOKUP(F437,Tabelle1!$A$2:$G$496,7,0))</f>
        <v/>
      </c>
      <c r="N437" s="66" t="str">
        <f t="shared" si="23"/>
        <v/>
      </c>
      <c r="O437" s="66" t="str">
        <f>IF(K437="","",((K437*VLOOKUP(F437,Tabelle1!$A$2:$I$496,8,0))/$W$4))</f>
        <v/>
      </c>
      <c r="P437" s="76" t="str">
        <f>IF(K437="","",VLOOKUP(F437,Tabelle1!$A$2:$L$496,12,0))</f>
        <v/>
      </c>
    </row>
    <row r="438" spans="1:16">
      <c r="A438" s="67"/>
      <c r="B438" s="55"/>
      <c r="C438" s="55"/>
      <c r="D438" s="57" t="str">
        <f>IF(K438="","",VLOOKUP(F438,Tabelle1!$A$2:$C$496,3,0))</f>
        <v/>
      </c>
      <c r="E438" s="57" t="str">
        <f>IF(K438="","",VLOOKUP(F438,Tabelle1!$A$2:$M$496,13,0))</f>
        <v/>
      </c>
      <c r="F438" s="56"/>
      <c r="G438" s="57"/>
      <c r="H438" s="57"/>
      <c r="I438" s="57"/>
      <c r="J438" s="57"/>
      <c r="K438" s="57" t="str">
        <f t="shared" si="22"/>
        <v/>
      </c>
      <c r="L438" s="57" t="str">
        <f>IF(K438="","",VLOOKUP(F438,Tabelle1!$A$2:$I$496,9,0))</f>
        <v/>
      </c>
      <c r="M438" s="57" t="str">
        <f>IF(K438="","",VLOOKUP(F438,Tabelle1!$A$2:$G$496,7,0))</f>
        <v/>
      </c>
      <c r="N438" s="66" t="str">
        <f t="shared" si="23"/>
        <v/>
      </c>
      <c r="O438" s="66" t="str">
        <f>IF(K438="","",((K438*VLOOKUP(F438,Tabelle1!$A$2:$I$496,8,0))/$W$4))</f>
        <v/>
      </c>
      <c r="P438" s="76" t="str">
        <f>IF(K438="","",VLOOKUP(F438,Tabelle1!$A$2:$L$496,12,0))</f>
        <v/>
      </c>
    </row>
    <row r="439" spans="1:16">
      <c r="A439" s="67"/>
      <c r="B439" s="55"/>
      <c r="C439" s="55"/>
      <c r="D439" s="57" t="str">
        <f>IF(K439="","",VLOOKUP(F439,Tabelle1!$A$2:$C$496,3,0))</f>
        <v/>
      </c>
      <c r="E439" s="57" t="str">
        <f>IF(K439="","",VLOOKUP(F439,Tabelle1!$A$2:$M$496,13,0))</f>
        <v/>
      </c>
      <c r="F439" s="56"/>
      <c r="G439" s="57"/>
      <c r="H439" s="57"/>
      <c r="I439" s="57"/>
      <c r="J439" s="57"/>
      <c r="K439" s="57" t="str">
        <f t="shared" si="22"/>
        <v/>
      </c>
      <c r="L439" s="57" t="str">
        <f>IF(K439="","",VLOOKUP(F439,Tabelle1!$A$2:$I$496,9,0))</f>
        <v/>
      </c>
      <c r="M439" s="57" t="str">
        <f>IF(K439="","",VLOOKUP(F439,Tabelle1!$A$2:$G$496,7,0))</f>
        <v/>
      </c>
      <c r="N439" s="66" t="str">
        <f t="shared" si="23"/>
        <v/>
      </c>
      <c r="O439" s="66" t="str">
        <f>IF(K439="","",((K439*VLOOKUP(F439,Tabelle1!$A$2:$I$496,8,0))/$W$4))</f>
        <v/>
      </c>
      <c r="P439" s="76" t="str">
        <f>IF(K439="","",VLOOKUP(F439,Tabelle1!$A$2:$L$496,12,0))</f>
        <v/>
      </c>
    </row>
    <row r="440" spans="1:16">
      <c r="A440" s="67"/>
      <c r="B440" s="55"/>
      <c r="C440" s="55"/>
      <c r="D440" s="57" t="str">
        <f>IF(K440="","",VLOOKUP(F440,Tabelle1!$A$2:$C$496,3,0))</f>
        <v/>
      </c>
      <c r="E440" s="57" t="str">
        <f>IF(K440="","",VLOOKUP(F440,Tabelle1!$A$2:$M$496,13,0))</f>
        <v/>
      </c>
      <c r="F440" s="56"/>
      <c r="G440" s="57"/>
      <c r="H440" s="57"/>
      <c r="I440" s="57"/>
      <c r="J440" s="57"/>
      <c r="K440" s="57" t="str">
        <f t="shared" si="22"/>
        <v/>
      </c>
      <c r="L440" s="57" t="str">
        <f>IF(K440="","",VLOOKUP(F440,Tabelle1!$A$2:$I$496,9,0))</f>
        <v/>
      </c>
      <c r="M440" s="57" t="str">
        <f>IF(K440="","",VLOOKUP(F440,Tabelle1!$A$2:$G$496,7,0))</f>
        <v/>
      </c>
      <c r="N440" s="66" t="str">
        <f t="shared" si="23"/>
        <v/>
      </c>
      <c r="O440" s="66" t="str">
        <f>IF(K440="","",((K440*VLOOKUP(F440,Tabelle1!$A$2:$I$496,8,0))/$W$4))</f>
        <v/>
      </c>
      <c r="P440" s="76" t="str">
        <f>IF(K440="","",VLOOKUP(F440,Tabelle1!$A$2:$L$496,12,0))</f>
        <v/>
      </c>
    </row>
    <row r="441" spans="1:16">
      <c r="A441" s="67"/>
      <c r="B441" s="55"/>
      <c r="C441" s="55"/>
      <c r="D441" s="57" t="str">
        <f>IF(K441="","",VLOOKUP(F441,Tabelle1!$A$2:$C$496,3,0))</f>
        <v/>
      </c>
      <c r="E441" s="57" t="str">
        <f>IF(K441="","",VLOOKUP(F441,Tabelle1!$A$2:$M$496,13,0))</f>
        <v/>
      </c>
      <c r="F441" s="56"/>
      <c r="G441" s="57"/>
      <c r="H441" s="57"/>
      <c r="I441" s="57"/>
      <c r="J441" s="57"/>
      <c r="K441" s="57" t="str">
        <f t="shared" si="22"/>
        <v/>
      </c>
      <c r="L441" s="57" t="str">
        <f>IF(K441="","",VLOOKUP(F441,Tabelle1!$A$2:$I$496,9,0))</f>
        <v/>
      </c>
      <c r="M441" s="57" t="str">
        <f>IF(K441="","",VLOOKUP(F441,Tabelle1!$A$2:$G$496,7,0))</f>
        <v/>
      </c>
      <c r="N441" s="66" t="str">
        <f t="shared" si="23"/>
        <v/>
      </c>
      <c r="O441" s="66" t="str">
        <f>IF(K441="","",((K441*VLOOKUP(F441,Tabelle1!$A$2:$I$496,8,0))/$W$4))</f>
        <v/>
      </c>
      <c r="P441" s="76" t="str">
        <f>IF(K441="","",VLOOKUP(F441,Tabelle1!$A$2:$L$496,12,0))</f>
        <v/>
      </c>
    </row>
    <row r="442" spans="1:16">
      <c r="A442" s="67"/>
      <c r="B442" s="55"/>
      <c r="C442" s="55"/>
      <c r="D442" s="57" t="str">
        <f>IF(K442="","",VLOOKUP(F442,Tabelle1!$A$2:$C$496,3,0))</f>
        <v/>
      </c>
      <c r="E442" s="57" t="str">
        <f>IF(K442="","",VLOOKUP(F442,Tabelle1!$A$2:$M$496,13,0))</f>
        <v/>
      </c>
      <c r="F442" s="56"/>
      <c r="G442" s="57"/>
      <c r="H442" s="57"/>
      <c r="I442" s="57"/>
      <c r="J442" s="57"/>
      <c r="K442" s="57" t="str">
        <f t="shared" si="22"/>
        <v/>
      </c>
      <c r="L442" s="57" t="str">
        <f>IF(K442="","",VLOOKUP(F442,Tabelle1!$A$2:$I$496,9,0))</f>
        <v/>
      </c>
      <c r="M442" s="57" t="str">
        <f>IF(K442="","",VLOOKUP(F442,Tabelle1!$A$2:$G$496,7,0))</f>
        <v/>
      </c>
      <c r="N442" s="66" t="str">
        <f t="shared" si="23"/>
        <v/>
      </c>
      <c r="O442" s="66" t="str">
        <f>IF(K442="","",((K442*VLOOKUP(F442,Tabelle1!$A$2:$I$496,8,0))/$W$4))</f>
        <v/>
      </c>
      <c r="P442" s="76" t="str">
        <f>IF(K442="","",VLOOKUP(F442,Tabelle1!$A$2:$L$496,12,0))</f>
        <v/>
      </c>
    </row>
    <row r="443" spans="1:16">
      <c r="A443" s="67"/>
      <c r="B443" s="55"/>
      <c r="C443" s="55"/>
      <c r="D443" s="57" t="str">
        <f>IF(K443="","",VLOOKUP(F443,Tabelle1!$A$2:$C$496,3,0))</f>
        <v/>
      </c>
      <c r="E443" s="57" t="str">
        <f>IF(K443="","",VLOOKUP(F443,Tabelle1!$A$2:$M$496,13,0))</f>
        <v/>
      </c>
      <c r="F443" s="56"/>
      <c r="G443" s="57"/>
      <c r="H443" s="57"/>
      <c r="I443" s="57"/>
      <c r="J443" s="57"/>
      <c r="K443" s="57" t="str">
        <f t="shared" si="22"/>
        <v/>
      </c>
      <c r="L443" s="57" t="str">
        <f>IF(K443="","",VLOOKUP(F443,Tabelle1!$A$2:$I$496,9,0))</f>
        <v/>
      </c>
      <c r="M443" s="57" t="str">
        <f>IF(K443="","",VLOOKUP(F443,Tabelle1!$A$2:$G$496,7,0))</f>
        <v/>
      </c>
      <c r="N443" s="66" t="str">
        <f t="shared" si="23"/>
        <v/>
      </c>
      <c r="O443" s="66" t="str">
        <f>IF(K443="","",((K443*VLOOKUP(F443,Tabelle1!$A$2:$I$496,8,0))/$W$4))</f>
        <v/>
      </c>
      <c r="P443" s="76" t="str">
        <f>IF(K443="","",VLOOKUP(F443,Tabelle1!$A$2:$L$496,12,0))</f>
        <v/>
      </c>
    </row>
    <row r="444" spans="1:16">
      <c r="A444" s="67"/>
      <c r="B444" s="55"/>
      <c r="C444" s="55"/>
      <c r="D444" s="57" t="str">
        <f>IF(K444="","",VLOOKUP(F444,Tabelle1!$A$2:$C$496,3,0))</f>
        <v/>
      </c>
      <c r="E444" s="57" t="str">
        <f>IF(K444="","",VLOOKUP(F444,Tabelle1!$A$2:$M$496,13,0))</f>
        <v/>
      </c>
      <c r="F444" s="56"/>
      <c r="G444" s="57"/>
      <c r="H444" s="57"/>
      <c r="I444" s="57"/>
      <c r="J444" s="57"/>
      <c r="K444" s="57" t="str">
        <f t="shared" si="22"/>
        <v/>
      </c>
      <c r="L444" s="57" t="str">
        <f>IF(K444="","",VLOOKUP(F444,Tabelle1!$A$2:$I$496,9,0))</f>
        <v/>
      </c>
      <c r="M444" s="57" t="str">
        <f>IF(K444="","",VLOOKUP(F444,Tabelle1!$A$2:$G$496,7,0))</f>
        <v/>
      </c>
      <c r="N444" s="66" t="str">
        <f t="shared" si="23"/>
        <v/>
      </c>
      <c r="O444" s="66" t="str">
        <f>IF(K444="","",((K444*VLOOKUP(F444,Tabelle1!$A$2:$I$496,8,0))/$W$4))</f>
        <v/>
      </c>
      <c r="P444" s="76" t="str">
        <f>IF(K444="","",VLOOKUP(F444,Tabelle1!$A$2:$L$496,12,0))</f>
        <v/>
      </c>
    </row>
    <row r="445" spans="1:16">
      <c r="A445" s="67"/>
      <c r="B445" s="55"/>
      <c r="C445" s="55"/>
      <c r="D445" s="57" t="str">
        <f>IF(K445="","",VLOOKUP(F445,Tabelle1!$A$2:$C$496,3,0))</f>
        <v/>
      </c>
      <c r="E445" s="57" t="str">
        <f>IF(K445="","",VLOOKUP(F445,Tabelle1!$A$2:$M$496,13,0))</f>
        <v/>
      </c>
      <c r="F445" s="56"/>
      <c r="G445" s="57"/>
      <c r="H445" s="57"/>
      <c r="I445" s="57"/>
      <c r="J445" s="57"/>
      <c r="K445" s="57" t="str">
        <f t="shared" si="22"/>
        <v/>
      </c>
      <c r="L445" s="57" t="str">
        <f>IF(K445="","",VLOOKUP(F445,Tabelle1!$A$2:$I$496,9,0))</f>
        <v/>
      </c>
      <c r="M445" s="57" t="str">
        <f>IF(K445="","",VLOOKUP(F445,Tabelle1!$A$2:$G$496,7,0))</f>
        <v/>
      </c>
      <c r="N445" s="66" t="str">
        <f t="shared" si="23"/>
        <v/>
      </c>
      <c r="O445" s="66" t="str">
        <f>IF(K445="","",((K445*VLOOKUP(F445,Tabelle1!$A$2:$I$496,8,0))/$W$4))</f>
        <v/>
      </c>
      <c r="P445" s="76" t="str">
        <f>IF(K445="","",VLOOKUP(F445,Tabelle1!$A$2:$L$496,12,0))</f>
        <v/>
      </c>
    </row>
    <row r="446" spans="1:16">
      <c r="A446" s="67"/>
      <c r="B446" s="55"/>
      <c r="C446" s="55"/>
      <c r="D446" s="57" t="str">
        <f>IF(K446="","",VLOOKUP(F446,Tabelle1!$A$2:$C$496,3,0))</f>
        <v/>
      </c>
      <c r="E446" s="57" t="str">
        <f>IF(K446="","",VLOOKUP(F446,Tabelle1!$A$2:$M$496,13,0))</f>
        <v/>
      </c>
      <c r="F446" s="56"/>
      <c r="G446" s="57"/>
      <c r="H446" s="57"/>
      <c r="I446" s="57"/>
      <c r="J446" s="57"/>
      <c r="K446" s="57" t="str">
        <f t="shared" si="22"/>
        <v/>
      </c>
      <c r="L446" s="57" t="str">
        <f>IF(K446="","",VLOOKUP(F446,Tabelle1!$A$2:$I$496,9,0))</f>
        <v/>
      </c>
      <c r="M446" s="57" t="str">
        <f>IF(K446="","",VLOOKUP(F446,Tabelle1!$A$2:$G$496,7,0))</f>
        <v/>
      </c>
      <c r="N446" s="66" t="str">
        <f t="shared" si="23"/>
        <v/>
      </c>
      <c r="O446" s="66" t="str">
        <f>IF(K446="","",((K446*VLOOKUP(F446,Tabelle1!$A$2:$I$496,8,0))/$W$4))</f>
        <v/>
      </c>
      <c r="P446" s="76" t="str">
        <f>IF(K446="","",VLOOKUP(F446,Tabelle1!$A$2:$L$496,12,0))</f>
        <v/>
      </c>
    </row>
    <row r="447" spans="1:16">
      <c r="A447" s="67"/>
      <c r="B447" s="55"/>
      <c r="C447" s="55"/>
      <c r="D447" s="57" t="str">
        <f>IF(K447="","",VLOOKUP(F447,Tabelle1!$A$2:$C$496,3,0))</f>
        <v/>
      </c>
      <c r="E447" s="57" t="str">
        <f>IF(K447="","",VLOOKUP(F447,Tabelle1!$A$2:$M$496,13,0))</f>
        <v/>
      </c>
      <c r="F447" s="56"/>
      <c r="G447" s="57"/>
      <c r="H447" s="57"/>
      <c r="I447" s="57"/>
      <c r="J447" s="57"/>
      <c r="K447" s="57" t="str">
        <f t="shared" si="22"/>
        <v/>
      </c>
      <c r="L447" s="57" t="str">
        <f>IF(K447="","",VLOOKUP(F447,Tabelle1!$A$2:$I$496,9,0))</f>
        <v/>
      </c>
      <c r="M447" s="57" t="str">
        <f>IF(K447="","",VLOOKUP(F447,Tabelle1!$A$2:$G$496,7,0))</f>
        <v/>
      </c>
      <c r="N447" s="66" t="str">
        <f t="shared" si="23"/>
        <v/>
      </c>
      <c r="O447" s="66" t="str">
        <f>IF(K447="","",((K447*VLOOKUP(F447,Tabelle1!$A$2:$I$496,8,0))/$W$4))</f>
        <v/>
      </c>
      <c r="P447" s="76" t="str">
        <f>IF(K447="","",VLOOKUP(F447,Tabelle1!$A$2:$L$496,12,0))</f>
        <v/>
      </c>
    </row>
    <row r="448" spans="1:16">
      <c r="A448" s="67"/>
      <c r="B448" s="55"/>
      <c r="C448" s="55"/>
      <c r="D448" s="57" t="str">
        <f>IF(K448="","",VLOOKUP(F448,Tabelle1!$A$2:$C$496,3,0))</f>
        <v/>
      </c>
      <c r="E448" s="57" t="str">
        <f>IF(K448="","",VLOOKUP(F448,Tabelle1!$A$2:$M$496,13,0))</f>
        <v/>
      </c>
      <c r="F448" s="56"/>
      <c r="G448" s="57"/>
      <c r="H448" s="57"/>
      <c r="I448" s="57"/>
      <c r="J448" s="57"/>
      <c r="K448" s="57" t="str">
        <f t="shared" si="22"/>
        <v/>
      </c>
      <c r="L448" s="57" t="str">
        <f>IF(K448="","",VLOOKUP(F448,Tabelle1!$A$2:$I$496,9,0))</f>
        <v/>
      </c>
      <c r="M448" s="57" t="str">
        <f>IF(K448="","",VLOOKUP(F448,Tabelle1!$A$2:$G$496,7,0))</f>
        <v/>
      </c>
      <c r="N448" s="66" t="str">
        <f t="shared" si="23"/>
        <v/>
      </c>
      <c r="O448" s="66" t="str">
        <f>IF(K448="","",((K448*VLOOKUP(F448,Tabelle1!$A$2:$I$496,8,0))/$W$4))</f>
        <v/>
      </c>
      <c r="P448" s="76" t="str">
        <f>IF(K448="","",VLOOKUP(F448,Tabelle1!$A$2:$L$496,12,0))</f>
        <v/>
      </c>
    </row>
    <row r="449" spans="1:16">
      <c r="A449" s="67"/>
      <c r="B449" s="55"/>
      <c r="C449" s="55"/>
      <c r="D449" s="57" t="str">
        <f>IF(K449="","",VLOOKUP(F449,Tabelle1!$A$2:$C$496,3,0))</f>
        <v/>
      </c>
      <c r="E449" s="57" t="str">
        <f>IF(K449="","",VLOOKUP(F449,Tabelle1!$A$2:$M$496,13,0))</f>
        <v/>
      </c>
      <c r="F449" s="56"/>
      <c r="G449" s="57"/>
      <c r="H449" s="57"/>
      <c r="I449" s="57"/>
      <c r="J449" s="57"/>
      <c r="K449" s="57" t="str">
        <f t="shared" si="22"/>
        <v/>
      </c>
      <c r="L449" s="57" t="str">
        <f>IF(K449="","",VLOOKUP(F449,Tabelle1!$A$2:$I$496,9,0))</f>
        <v/>
      </c>
      <c r="M449" s="57" t="str">
        <f>IF(K449="","",VLOOKUP(F449,Tabelle1!$A$2:$G$496,7,0))</f>
        <v/>
      </c>
      <c r="N449" s="66" t="str">
        <f t="shared" si="23"/>
        <v/>
      </c>
      <c r="O449" s="66" t="str">
        <f>IF(K449="","",((K449*VLOOKUP(F449,Tabelle1!$A$2:$I$496,8,0))/$W$4))</f>
        <v/>
      </c>
      <c r="P449" s="76" t="str">
        <f>IF(K449="","",VLOOKUP(F449,Tabelle1!$A$2:$L$496,12,0))</f>
        <v/>
      </c>
    </row>
    <row r="450" spans="1:16">
      <c r="A450" s="67"/>
      <c r="B450" s="55"/>
      <c r="C450" s="55"/>
      <c r="D450" s="57" t="str">
        <f>IF(K450="","",VLOOKUP(F450,Tabelle1!$A$2:$C$496,3,0))</f>
        <v/>
      </c>
      <c r="E450" s="57" t="str">
        <f>IF(K450="","",VLOOKUP(F450,Tabelle1!$A$2:$M$496,13,0))</f>
        <v/>
      </c>
      <c r="F450" s="56"/>
      <c r="G450" s="57"/>
      <c r="H450" s="57"/>
      <c r="I450" s="57"/>
      <c r="J450" s="57"/>
      <c r="K450" s="57" t="str">
        <f t="shared" si="22"/>
        <v/>
      </c>
      <c r="L450" s="57" t="str">
        <f>IF(K450="","",VLOOKUP(F450,Tabelle1!$A$2:$I$496,9,0))</f>
        <v/>
      </c>
      <c r="M450" s="57" t="str">
        <f>IF(K450="","",VLOOKUP(F450,Tabelle1!$A$2:$G$496,7,0))</f>
        <v/>
      </c>
      <c r="N450" s="66" t="str">
        <f t="shared" si="23"/>
        <v/>
      </c>
      <c r="O450" s="66" t="str">
        <f>IF(K450="","",((K450*VLOOKUP(F450,Tabelle1!$A$2:$I$496,8,0))/$W$4))</f>
        <v/>
      </c>
      <c r="P450" s="76" t="str">
        <f>IF(K450="","",VLOOKUP(F450,Tabelle1!$A$2:$L$496,12,0))</f>
        <v/>
      </c>
    </row>
    <row r="451" spans="1:16">
      <c r="A451" s="67"/>
      <c r="B451" s="55"/>
      <c r="C451" s="55"/>
      <c r="D451" s="57" t="str">
        <f>IF(K451="","",VLOOKUP(F451,Tabelle1!$A$2:$C$496,3,0))</f>
        <v/>
      </c>
      <c r="E451" s="57" t="str">
        <f>IF(K451="","",VLOOKUP(F451,Tabelle1!$A$2:$M$496,13,0))</f>
        <v/>
      </c>
      <c r="F451" s="56"/>
      <c r="G451" s="57"/>
      <c r="H451" s="57"/>
      <c r="I451" s="57"/>
      <c r="J451" s="57"/>
      <c r="K451" s="57" t="str">
        <f t="shared" si="22"/>
        <v/>
      </c>
      <c r="L451" s="57" t="str">
        <f>IF(K451="","",VLOOKUP(F451,Tabelle1!$A$2:$I$496,9,0))</f>
        <v/>
      </c>
      <c r="M451" s="57" t="str">
        <f>IF(K451="","",VLOOKUP(F451,Tabelle1!$A$2:$G$496,7,0))</f>
        <v/>
      </c>
      <c r="N451" s="66" t="str">
        <f t="shared" si="23"/>
        <v/>
      </c>
      <c r="O451" s="66" t="str">
        <f>IF(K451="","",((K451*VLOOKUP(F451,Tabelle1!$A$2:$I$496,8,0))/$W$4))</f>
        <v/>
      </c>
      <c r="P451" s="76" t="str">
        <f>IF(K451="","",VLOOKUP(F451,Tabelle1!$A$2:$L$496,12,0))</f>
        <v/>
      </c>
    </row>
    <row r="452" spans="1:16">
      <c r="A452" s="67"/>
      <c r="B452" s="55"/>
      <c r="C452" s="55"/>
      <c r="D452" s="57" t="str">
        <f>IF(K452="","",VLOOKUP(F452,Tabelle1!$A$2:$C$496,3,0))</f>
        <v/>
      </c>
      <c r="E452" s="57" t="str">
        <f>IF(K452="","",VLOOKUP(F452,Tabelle1!$A$2:$M$496,13,0))</f>
        <v/>
      </c>
      <c r="F452" s="56"/>
      <c r="G452" s="57"/>
      <c r="H452" s="57"/>
      <c r="I452" s="57"/>
      <c r="J452" s="57"/>
      <c r="K452" s="57" t="str">
        <f t="shared" si="22"/>
        <v/>
      </c>
      <c r="L452" s="57" t="str">
        <f>IF(K452="","",VLOOKUP(F452,Tabelle1!$A$2:$I$496,9,0))</f>
        <v/>
      </c>
      <c r="M452" s="57" t="str">
        <f>IF(K452="","",VLOOKUP(F452,Tabelle1!$A$2:$G$496,7,0))</f>
        <v/>
      </c>
      <c r="N452" s="66" t="str">
        <f t="shared" si="23"/>
        <v/>
      </c>
      <c r="O452" s="66" t="str">
        <f>IF(K452="","",((K452*VLOOKUP(F452,Tabelle1!$A$2:$I$496,8,0))/$W$4))</f>
        <v/>
      </c>
      <c r="P452" s="76" t="str">
        <f>IF(K452="","",VLOOKUP(F452,Tabelle1!$A$2:$L$496,12,0))</f>
        <v/>
      </c>
    </row>
    <row r="453" spans="1:16">
      <c r="A453" s="67"/>
      <c r="B453" s="55"/>
      <c r="C453" s="55"/>
      <c r="D453" s="57" t="str">
        <f>IF(K453="","",VLOOKUP(F453,Tabelle1!$A$2:$C$496,3,0))</f>
        <v/>
      </c>
      <c r="E453" s="57" t="str">
        <f>IF(K453="","",VLOOKUP(F453,Tabelle1!$A$2:$M$496,13,0))</f>
        <v/>
      </c>
      <c r="F453" s="56"/>
      <c r="G453" s="57"/>
      <c r="H453" s="57"/>
      <c r="I453" s="57"/>
      <c r="J453" s="57"/>
      <c r="K453" s="57" t="str">
        <f t="shared" si="22"/>
        <v/>
      </c>
      <c r="L453" s="57" t="str">
        <f>IF(K453="","",VLOOKUP(F453,Tabelle1!$A$2:$I$496,9,0))</f>
        <v/>
      </c>
      <c r="M453" s="57" t="str">
        <f>IF(K453="","",VLOOKUP(F453,Tabelle1!$A$2:$G$496,7,0))</f>
        <v/>
      </c>
      <c r="N453" s="66" t="str">
        <f t="shared" si="23"/>
        <v/>
      </c>
      <c r="O453" s="66" t="str">
        <f>IF(K453="","",((K453*VLOOKUP(F453,Tabelle1!$A$2:$I$496,8,0))/$W$4))</f>
        <v/>
      </c>
      <c r="P453" s="76" t="str">
        <f>IF(K453="","",VLOOKUP(F453,Tabelle1!$A$2:$L$496,12,0))</f>
        <v/>
      </c>
    </row>
    <row r="454" spans="1:16">
      <c r="A454" s="67"/>
      <c r="B454" s="55"/>
      <c r="C454" s="55"/>
      <c r="D454" s="57" t="str">
        <f>IF(K454="","",VLOOKUP(F454,Tabelle1!$A$2:$C$496,3,0))</f>
        <v/>
      </c>
      <c r="E454" s="57" t="str">
        <f>IF(K454="","",VLOOKUP(F454,Tabelle1!$A$2:$M$496,13,0))</f>
        <v/>
      </c>
      <c r="F454" s="56"/>
      <c r="G454" s="57"/>
      <c r="H454" s="57"/>
      <c r="I454" s="57"/>
      <c r="J454" s="57"/>
      <c r="K454" s="57" t="str">
        <f t="shared" si="22"/>
        <v/>
      </c>
      <c r="L454" s="57" t="str">
        <f>IF(K454="","",VLOOKUP(F454,Tabelle1!$A$2:$I$496,9,0))</f>
        <v/>
      </c>
      <c r="M454" s="57" t="str">
        <f>IF(K454="","",VLOOKUP(F454,Tabelle1!$A$2:$G$496,7,0))</f>
        <v/>
      </c>
      <c r="N454" s="66" t="str">
        <f t="shared" si="23"/>
        <v/>
      </c>
      <c r="O454" s="66" t="str">
        <f>IF(K454="","",((K454*VLOOKUP(F454,Tabelle1!$A$2:$I$496,8,0))/$W$4))</f>
        <v/>
      </c>
      <c r="P454" s="76" t="str">
        <f>IF(K454="","",VLOOKUP(F454,Tabelle1!$A$2:$L$496,12,0))</f>
        <v/>
      </c>
    </row>
    <row r="455" spans="1:16">
      <c r="A455" s="67"/>
      <c r="B455" s="55"/>
      <c r="C455" s="55"/>
      <c r="D455" s="57" t="str">
        <f>IF(K455="","",VLOOKUP(F455,Tabelle1!$A$2:$C$496,3,0))</f>
        <v/>
      </c>
      <c r="E455" s="57" t="str">
        <f>IF(K455="","",VLOOKUP(F455,Tabelle1!$A$2:$M$496,13,0))</f>
        <v/>
      </c>
      <c r="F455" s="56"/>
      <c r="G455" s="57"/>
      <c r="H455" s="57"/>
      <c r="I455" s="57"/>
      <c r="J455" s="57"/>
      <c r="K455" s="57" t="str">
        <f t="shared" si="22"/>
        <v/>
      </c>
      <c r="L455" s="57" t="str">
        <f>IF(K455="","",VLOOKUP(F455,Tabelle1!$A$2:$I$496,9,0))</f>
        <v/>
      </c>
      <c r="M455" s="57" t="str">
        <f>IF(K455="","",VLOOKUP(F455,Tabelle1!$A$2:$G$496,7,0))</f>
        <v/>
      </c>
      <c r="N455" s="66" t="str">
        <f t="shared" si="23"/>
        <v/>
      </c>
      <c r="O455" s="66" t="str">
        <f>IF(K455="","",((K455*VLOOKUP(F455,Tabelle1!$A$2:$I$496,8,0))/$W$4))</f>
        <v/>
      </c>
      <c r="P455" s="76" t="str">
        <f>IF(K455="","",VLOOKUP(F455,Tabelle1!$A$2:$L$496,12,0))</f>
        <v/>
      </c>
    </row>
    <row r="456" spans="1:16">
      <c r="A456" s="67"/>
      <c r="B456" s="55"/>
      <c r="C456" s="55"/>
      <c r="D456" s="57" t="str">
        <f>IF(K456="","",VLOOKUP(F456,Tabelle1!$A$2:$C$496,3,0))</f>
        <v/>
      </c>
      <c r="E456" s="57" t="str">
        <f>IF(K456="","",VLOOKUP(F456,Tabelle1!$A$2:$M$496,13,0))</f>
        <v/>
      </c>
      <c r="F456" s="56"/>
      <c r="G456" s="57"/>
      <c r="H456" s="57"/>
      <c r="I456" s="57"/>
      <c r="J456" s="57"/>
      <c r="K456" s="57" t="str">
        <f t="shared" si="22"/>
        <v/>
      </c>
      <c r="L456" s="57" t="str">
        <f>IF(K456="","",VLOOKUP(F456,Tabelle1!$A$2:$I$496,9,0))</f>
        <v/>
      </c>
      <c r="M456" s="57" t="str">
        <f>IF(K456="","",VLOOKUP(F456,Tabelle1!$A$2:$G$496,7,0))</f>
        <v/>
      </c>
      <c r="N456" s="66" t="str">
        <f t="shared" si="23"/>
        <v/>
      </c>
      <c r="O456" s="66" t="str">
        <f>IF(K456="","",((K456*VLOOKUP(F456,Tabelle1!$A$2:$I$496,8,0))/$W$4))</f>
        <v/>
      </c>
      <c r="P456" s="76" t="str">
        <f>IF(K456="","",VLOOKUP(F456,Tabelle1!$A$2:$L$496,12,0))</f>
        <v/>
      </c>
    </row>
    <row r="457" spans="1:16">
      <c r="A457" s="67"/>
      <c r="B457" s="55"/>
      <c r="C457" s="55"/>
      <c r="D457" s="57" t="str">
        <f>IF(K457="","",VLOOKUP(F457,Tabelle1!$A$2:$C$496,3,0))</f>
        <v/>
      </c>
      <c r="E457" s="57" t="str">
        <f>IF(K457="","",VLOOKUP(F457,Tabelle1!$A$2:$M$496,13,0))</f>
        <v/>
      </c>
      <c r="F457" s="56"/>
      <c r="G457" s="57"/>
      <c r="H457" s="57"/>
      <c r="I457" s="57"/>
      <c r="J457" s="57"/>
      <c r="K457" s="57" t="str">
        <f t="shared" si="22"/>
        <v/>
      </c>
      <c r="L457" s="57" t="str">
        <f>IF(K457="","",VLOOKUP(F457,Tabelle1!$A$2:$I$496,9,0))</f>
        <v/>
      </c>
      <c r="M457" s="57" t="str">
        <f>IF(K457="","",VLOOKUP(F457,Tabelle1!$A$2:$G$496,7,0))</f>
        <v/>
      </c>
      <c r="N457" s="66" t="str">
        <f t="shared" si="23"/>
        <v/>
      </c>
      <c r="O457" s="66" t="str">
        <f>IF(K457="","",((K457*VLOOKUP(F457,Tabelle1!$A$2:$I$496,8,0))/$W$4))</f>
        <v/>
      </c>
      <c r="P457" s="76" t="str">
        <f>IF(K457="","",VLOOKUP(F457,Tabelle1!$A$2:$L$496,12,0))</f>
        <v/>
      </c>
    </row>
    <row r="458" spans="1:16">
      <c r="A458" s="67"/>
      <c r="B458" s="55"/>
      <c r="C458" s="55"/>
      <c r="D458" s="57" t="str">
        <f>IF(K458="","",VLOOKUP(F458,Tabelle1!$A$2:$C$496,3,0))</f>
        <v/>
      </c>
      <c r="E458" s="57" t="str">
        <f>IF(K458="","",VLOOKUP(F458,Tabelle1!$A$2:$M$496,13,0))</f>
        <v/>
      </c>
      <c r="F458" s="56"/>
      <c r="G458" s="57"/>
      <c r="H458" s="57"/>
      <c r="I458" s="57"/>
      <c r="J458" s="57"/>
      <c r="K458" s="57" t="str">
        <f t="shared" si="22"/>
        <v/>
      </c>
      <c r="L458" s="57" t="str">
        <f>IF(K458="","",VLOOKUP(F458,Tabelle1!$A$2:$I$496,9,0))</f>
        <v/>
      </c>
      <c r="M458" s="57" t="str">
        <f>IF(K458="","",VLOOKUP(F458,Tabelle1!$A$2:$G$496,7,0))</f>
        <v/>
      </c>
      <c r="N458" s="66" t="str">
        <f t="shared" si="23"/>
        <v/>
      </c>
      <c r="O458" s="66" t="str">
        <f>IF(K458="","",((K458*VLOOKUP(F458,Tabelle1!$A$2:$I$496,8,0))/$W$4))</f>
        <v/>
      </c>
      <c r="P458" s="76" t="str">
        <f>IF(K458="","",VLOOKUP(F458,Tabelle1!$A$2:$L$496,12,0))</f>
        <v/>
      </c>
    </row>
    <row r="459" spans="1:16">
      <c r="A459" s="67"/>
      <c r="B459" s="55"/>
      <c r="C459" s="55"/>
      <c r="D459" s="57" t="str">
        <f>IF(K459="","",VLOOKUP(F459,Tabelle1!$A$2:$C$496,3,0))</f>
        <v/>
      </c>
      <c r="E459" s="57" t="str">
        <f>IF(K459="","",VLOOKUP(F459,Tabelle1!$A$2:$M$496,13,0))</f>
        <v/>
      </c>
      <c r="F459" s="56"/>
      <c r="G459" s="57"/>
      <c r="H459" s="57"/>
      <c r="I459" s="57"/>
      <c r="J459" s="57"/>
      <c r="K459" s="57" t="str">
        <f t="shared" ref="K459:K522" si="24">IF(F459="","",C459*G459*H459)</f>
        <v/>
      </c>
      <c r="L459" s="57" t="str">
        <f>IF(K459="","",VLOOKUP(F459,Tabelle1!$A$2:$I$496,9,0))</f>
        <v/>
      </c>
      <c r="M459" s="57" t="str">
        <f>IF(K459="","",VLOOKUP(F459,Tabelle1!$A$2:$G$496,7,0))</f>
        <v/>
      </c>
      <c r="N459" s="66" t="str">
        <f t="shared" ref="N459:N522" si="25">IF(M459&gt;0,O459,"")</f>
        <v/>
      </c>
      <c r="O459" s="66" t="str">
        <f>IF(K459="","",((K459*VLOOKUP(F459,Tabelle1!$A$2:$I$496,8,0))/$W$4))</f>
        <v/>
      </c>
      <c r="P459" s="76" t="str">
        <f>IF(K459="","",VLOOKUP(F459,Tabelle1!$A$2:$L$496,12,0))</f>
        <v/>
      </c>
    </row>
    <row r="460" spans="1:16">
      <c r="A460" s="67"/>
      <c r="B460" s="55"/>
      <c r="C460" s="55"/>
      <c r="D460" s="57" t="str">
        <f>IF(K460="","",VLOOKUP(F460,Tabelle1!$A$2:$C$496,3,0))</f>
        <v/>
      </c>
      <c r="E460" s="57" t="str">
        <f>IF(K460="","",VLOOKUP(F460,Tabelle1!$A$2:$M$496,13,0))</f>
        <v/>
      </c>
      <c r="F460" s="56"/>
      <c r="G460" s="57"/>
      <c r="H460" s="57"/>
      <c r="I460" s="57"/>
      <c r="J460" s="57"/>
      <c r="K460" s="57" t="str">
        <f t="shared" si="24"/>
        <v/>
      </c>
      <c r="L460" s="57" t="str">
        <f>IF(K460="","",VLOOKUP(F460,Tabelle1!$A$2:$I$496,9,0))</f>
        <v/>
      </c>
      <c r="M460" s="57" t="str">
        <f>IF(K460="","",VLOOKUP(F460,Tabelle1!$A$2:$G$496,7,0))</f>
        <v/>
      </c>
      <c r="N460" s="66" t="str">
        <f t="shared" si="25"/>
        <v/>
      </c>
      <c r="O460" s="66" t="str">
        <f>IF(K460="","",((K460*VLOOKUP(F460,Tabelle1!$A$2:$I$496,8,0))/$W$4))</f>
        <v/>
      </c>
      <c r="P460" s="76" t="str">
        <f>IF(K460="","",VLOOKUP(F460,Tabelle1!$A$2:$L$496,12,0))</f>
        <v/>
      </c>
    </row>
    <row r="461" spans="1:16">
      <c r="A461" s="67"/>
      <c r="B461" s="55"/>
      <c r="C461" s="55"/>
      <c r="D461" s="57" t="str">
        <f>IF(K461="","",VLOOKUP(F461,Tabelle1!$A$2:$C$496,3,0))</f>
        <v/>
      </c>
      <c r="E461" s="57" t="str">
        <f>IF(K461="","",VLOOKUP(F461,Tabelle1!$A$2:$M$496,13,0))</f>
        <v/>
      </c>
      <c r="F461" s="56"/>
      <c r="G461" s="57"/>
      <c r="H461" s="57"/>
      <c r="I461" s="57"/>
      <c r="J461" s="57"/>
      <c r="K461" s="57" t="str">
        <f t="shared" si="24"/>
        <v/>
      </c>
      <c r="L461" s="57" t="str">
        <f>IF(K461="","",VLOOKUP(F461,Tabelle1!$A$2:$I$496,9,0))</f>
        <v/>
      </c>
      <c r="M461" s="57" t="str">
        <f>IF(K461="","",VLOOKUP(F461,Tabelle1!$A$2:$G$496,7,0))</f>
        <v/>
      </c>
      <c r="N461" s="66" t="str">
        <f t="shared" si="25"/>
        <v/>
      </c>
      <c r="O461" s="66" t="str">
        <f>IF(K461="","",((K461*VLOOKUP(F461,Tabelle1!$A$2:$I$496,8,0))/$W$4))</f>
        <v/>
      </c>
      <c r="P461" s="76" t="str">
        <f>IF(K461="","",VLOOKUP(F461,Tabelle1!$A$2:$L$496,12,0))</f>
        <v/>
      </c>
    </row>
    <row r="462" spans="1:16">
      <c r="A462" s="67"/>
      <c r="B462" s="55"/>
      <c r="C462" s="55"/>
      <c r="D462" s="57" t="str">
        <f>IF(K462="","",VLOOKUP(F462,Tabelle1!$A$2:$C$496,3,0))</f>
        <v/>
      </c>
      <c r="E462" s="57" t="str">
        <f>IF(K462="","",VLOOKUP(F462,Tabelle1!$A$2:$M$496,13,0))</f>
        <v/>
      </c>
      <c r="F462" s="56"/>
      <c r="G462" s="57"/>
      <c r="H462" s="57"/>
      <c r="I462" s="57"/>
      <c r="J462" s="57"/>
      <c r="K462" s="57" t="str">
        <f t="shared" si="24"/>
        <v/>
      </c>
      <c r="L462" s="57" t="str">
        <f>IF(K462="","",VLOOKUP(F462,Tabelle1!$A$2:$I$496,9,0))</f>
        <v/>
      </c>
      <c r="M462" s="57" t="str">
        <f>IF(K462="","",VLOOKUP(F462,Tabelle1!$A$2:$G$496,7,0))</f>
        <v/>
      </c>
      <c r="N462" s="66" t="str">
        <f t="shared" si="25"/>
        <v/>
      </c>
      <c r="O462" s="66" t="str">
        <f>IF(K462="","",((K462*VLOOKUP(F462,Tabelle1!$A$2:$I$496,8,0))/$W$4))</f>
        <v/>
      </c>
      <c r="P462" s="76" t="str">
        <f>IF(K462="","",VLOOKUP(F462,Tabelle1!$A$2:$L$496,12,0))</f>
        <v/>
      </c>
    </row>
    <row r="463" spans="1:16">
      <c r="A463" s="67"/>
      <c r="B463" s="55"/>
      <c r="C463" s="55"/>
      <c r="D463" s="57" t="str">
        <f>IF(K463="","",VLOOKUP(F463,Tabelle1!$A$2:$C$496,3,0))</f>
        <v/>
      </c>
      <c r="E463" s="57" t="str">
        <f>IF(K463="","",VLOOKUP(F463,Tabelle1!$A$2:$M$496,13,0))</f>
        <v/>
      </c>
      <c r="F463" s="56"/>
      <c r="G463" s="57"/>
      <c r="H463" s="57"/>
      <c r="I463" s="57"/>
      <c r="J463" s="57"/>
      <c r="K463" s="57" t="str">
        <f t="shared" si="24"/>
        <v/>
      </c>
      <c r="L463" s="57" t="str">
        <f>IF(K463="","",VLOOKUP(F463,Tabelle1!$A$2:$I$496,9,0))</f>
        <v/>
      </c>
      <c r="M463" s="57" t="str">
        <f>IF(K463="","",VLOOKUP(F463,Tabelle1!$A$2:$G$496,7,0))</f>
        <v/>
      </c>
      <c r="N463" s="66" t="str">
        <f t="shared" si="25"/>
        <v/>
      </c>
      <c r="O463" s="66" t="str">
        <f>IF(K463="","",((K463*VLOOKUP(F463,Tabelle1!$A$2:$I$496,8,0))/$W$4))</f>
        <v/>
      </c>
      <c r="P463" s="76" t="str">
        <f>IF(K463="","",VLOOKUP(F463,Tabelle1!$A$2:$L$496,12,0))</f>
        <v/>
      </c>
    </row>
    <row r="464" spans="1:16">
      <c r="A464" s="67"/>
      <c r="B464" s="55"/>
      <c r="C464" s="55"/>
      <c r="D464" s="57" t="str">
        <f>IF(K464="","",VLOOKUP(F464,Tabelle1!$A$2:$C$496,3,0))</f>
        <v/>
      </c>
      <c r="E464" s="57" t="str">
        <f>IF(K464="","",VLOOKUP(F464,Tabelle1!$A$2:$M$496,13,0))</f>
        <v/>
      </c>
      <c r="F464" s="56"/>
      <c r="G464" s="57"/>
      <c r="H464" s="57"/>
      <c r="I464" s="57"/>
      <c r="J464" s="57"/>
      <c r="K464" s="57" t="str">
        <f t="shared" si="24"/>
        <v/>
      </c>
      <c r="L464" s="57" t="str">
        <f>IF(K464="","",VLOOKUP(F464,Tabelle1!$A$2:$I$496,9,0))</f>
        <v/>
      </c>
      <c r="M464" s="57" t="str">
        <f>IF(K464="","",VLOOKUP(F464,Tabelle1!$A$2:$G$496,7,0))</f>
        <v/>
      </c>
      <c r="N464" s="66" t="str">
        <f t="shared" si="25"/>
        <v/>
      </c>
      <c r="O464" s="66" t="str">
        <f>IF(K464="","",((K464*VLOOKUP(F464,Tabelle1!$A$2:$I$496,8,0))/$W$4))</f>
        <v/>
      </c>
      <c r="P464" s="76" t="str">
        <f>IF(K464="","",VLOOKUP(F464,Tabelle1!$A$2:$L$496,12,0))</f>
        <v/>
      </c>
    </row>
    <row r="465" spans="1:16">
      <c r="A465" s="67"/>
      <c r="B465" s="55"/>
      <c r="C465" s="55"/>
      <c r="D465" s="57" t="str">
        <f>IF(K465="","",VLOOKUP(F465,Tabelle1!$A$2:$C$496,3,0))</f>
        <v/>
      </c>
      <c r="E465" s="57" t="str">
        <f>IF(K465="","",VLOOKUP(F465,Tabelle1!$A$2:$M$496,13,0))</f>
        <v/>
      </c>
      <c r="F465" s="56"/>
      <c r="G465" s="57"/>
      <c r="H465" s="57"/>
      <c r="I465" s="57"/>
      <c r="J465" s="57"/>
      <c r="K465" s="57" t="str">
        <f t="shared" si="24"/>
        <v/>
      </c>
      <c r="L465" s="57" t="str">
        <f>IF(K465="","",VLOOKUP(F465,Tabelle1!$A$2:$I$496,9,0))</f>
        <v/>
      </c>
      <c r="M465" s="57" t="str">
        <f>IF(K465="","",VLOOKUP(F465,Tabelle1!$A$2:$G$496,7,0))</f>
        <v/>
      </c>
      <c r="N465" s="66" t="str">
        <f t="shared" si="25"/>
        <v/>
      </c>
      <c r="O465" s="66" t="str">
        <f>IF(K465="","",((K465*VLOOKUP(F465,Tabelle1!$A$2:$I$496,8,0))/$W$4))</f>
        <v/>
      </c>
      <c r="P465" s="76" t="str">
        <f>IF(K465="","",VLOOKUP(F465,Tabelle1!$A$2:$L$496,12,0))</f>
        <v/>
      </c>
    </row>
    <row r="466" spans="1:16">
      <c r="A466" s="67"/>
      <c r="B466" s="55"/>
      <c r="C466" s="55"/>
      <c r="D466" s="57" t="str">
        <f>IF(K466="","",VLOOKUP(F466,Tabelle1!$A$2:$C$496,3,0))</f>
        <v/>
      </c>
      <c r="E466" s="57" t="str">
        <f>IF(K466="","",VLOOKUP(F466,Tabelle1!$A$2:$M$496,13,0))</f>
        <v/>
      </c>
      <c r="F466" s="56"/>
      <c r="G466" s="57"/>
      <c r="H466" s="57"/>
      <c r="I466" s="57"/>
      <c r="J466" s="57"/>
      <c r="K466" s="57" t="str">
        <f t="shared" si="24"/>
        <v/>
      </c>
      <c r="L466" s="57" t="str">
        <f>IF(K466="","",VLOOKUP(F466,Tabelle1!$A$2:$I$496,9,0))</f>
        <v/>
      </c>
      <c r="M466" s="57" t="str">
        <f>IF(K466="","",VLOOKUP(F466,Tabelle1!$A$2:$G$496,7,0))</f>
        <v/>
      </c>
      <c r="N466" s="66" t="str">
        <f t="shared" si="25"/>
        <v/>
      </c>
      <c r="O466" s="66" t="str">
        <f>IF(K466="","",((K466*VLOOKUP(F466,Tabelle1!$A$2:$I$496,8,0))/$W$4))</f>
        <v/>
      </c>
      <c r="P466" s="76" t="str">
        <f>IF(K466="","",VLOOKUP(F466,Tabelle1!$A$2:$L$496,12,0))</f>
        <v/>
      </c>
    </row>
    <row r="467" spans="1:16">
      <c r="A467" s="67"/>
      <c r="B467" s="55"/>
      <c r="C467" s="55"/>
      <c r="D467" s="57" t="str">
        <f>IF(K467="","",VLOOKUP(F467,Tabelle1!$A$2:$C$496,3,0))</f>
        <v/>
      </c>
      <c r="E467" s="57" t="str">
        <f>IF(K467="","",VLOOKUP(F467,Tabelle1!$A$2:$M$496,13,0))</f>
        <v/>
      </c>
      <c r="F467" s="56"/>
      <c r="G467" s="57"/>
      <c r="H467" s="57"/>
      <c r="I467" s="57"/>
      <c r="J467" s="57"/>
      <c r="K467" s="57" t="str">
        <f t="shared" si="24"/>
        <v/>
      </c>
      <c r="L467" s="57" t="str">
        <f>IF(K467="","",VLOOKUP(F467,Tabelle1!$A$2:$I$496,9,0))</f>
        <v/>
      </c>
      <c r="M467" s="57" t="str">
        <f>IF(K467="","",VLOOKUP(F467,Tabelle1!$A$2:$G$496,7,0))</f>
        <v/>
      </c>
      <c r="N467" s="66" t="str">
        <f t="shared" si="25"/>
        <v/>
      </c>
      <c r="O467" s="66" t="str">
        <f>IF(K467="","",((K467*VLOOKUP(F467,Tabelle1!$A$2:$I$496,8,0))/$W$4))</f>
        <v/>
      </c>
      <c r="P467" s="76" t="str">
        <f>IF(K467="","",VLOOKUP(F467,Tabelle1!$A$2:$L$496,12,0))</f>
        <v/>
      </c>
    </row>
    <row r="468" spans="1:16">
      <c r="A468" s="67"/>
      <c r="B468" s="55"/>
      <c r="C468" s="55"/>
      <c r="D468" s="57" t="str">
        <f>IF(K468="","",VLOOKUP(F468,Tabelle1!$A$2:$C$496,3,0))</f>
        <v/>
      </c>
      <c r="E468" s="57" t="str">
        <f>IF(K468="","",VLOOKUP(F468,Tabelle1!$A$2:$M$496,13,0))</f>
        <v/>
      </c>
      <c r="F468" s="56"/>
      <c r="G468" s="57"/>
      <c r="H468" s="57"/>
      <c r="I468" s="57"/>
      <c r="J468" s="57"/>
      <c r="K468" s="57" t="str">
        <f t="shared" si="24"/>
        <v/>
      </c>
      <c r="L468" s="57" t="str">
        <f>IF(K468="","",VLOOKUP(F468,Tabelle1!$A$2:$I$496,9,0))</f>
        <v/>
      </c>
      <c r="M468" s="57" t="str">
        <f>IF(K468="","",VLOOKUP(F468,Tabelle1!$A$2:$G$496,7,0))</f>
        <v/>
      </c>
      <c r="N468" s="66" t="str">
        <f t="shared" si="25"/>
        <v/>
      </c>
      <c r="O468" s="66" t="str">
        <f>IF(K468="","",((K468*VLOOKUP(F468,Tabelle1!$A$2:$I$496,8,0))/$W$4))</f>
        <v/>
      </c>
      <c r="P468" s="76" t="str">
        <f>IF(K468="","",VLOOKUP(F468,Tabelle1!$A$2:$L$496,12,0))</f>
        <v/>
      </c>
    </row>
    <row r="469" spans="1:16">
      <c r="A469" s="67"/>
      <c r="B469" s="55"/>
      <c r="C469" s="55"/>
      <c r="D469" s="57" t="str">
        <f>IF(K469="","",VLOOKUP(F469,Tabelle1!$A$2:$C$496,3,0))</f>
        <v/>
      </c>
      <c r="E469" s="57" t="str">
        <f>IF(K469="","",VLOOKUP(F469,Tabelle1!$A$2:$M$496,13,0))</f>
        <v/>
      </c>
      <c r="F469" s="56"/>
      <c r="G469" s="57"/>
      <c r="H469" s="57"/>
      <c r="I469" s="57"/>
      <c r="J469" s="57"/>
      <c r="K469" s="57" t="str">
        <f t="shared" si="24"/>
        <v/>
      </c>
      <c r="L469" s="57" t="str">
        <f>IF(K469="","",VLOOKUP(F469,Tabelle1!$A$2:$I$496,9,0))</f>
        <v/>
      </c>
      <c r="M469" s="57" t="str">
        <f>IF(K469="","",VLOOKUP(F469,Tabelle1!$A$2:$G$496,7,0))</f>
        <v/>
      </c>
      <c r="N469" s="66" t="str">
        <f t="shared" si="25"/>
        <v/>
      </c>
      <c r="O469" s="66" t="str">
        <f>IF(K469="","",((K469*VLOOKUP(F469,Tabelle1!$A$2:$I$496,8,0))/$W$4))</f>
        <v/>
      </c>
      <c r="P469" s="76" t="str">
        <f>IF(K469="","",VLOOKUP(F469,Tabelle1!$A$2:$L$496,12,0))</f>
        <v/>
      </c>
    </row>
    <row r="470" spans="1:16">
      <c r="A470" s="67"/>
      <c r="B470" s="55"/>
      <c r="C470" s="55"/>
      <c r="D470" s="57" t="str">
        <f>IF(K470="","",VLOOKUP(F470,Tabelle1!$A$2:$C$496,3,0))</f>
        <v/>
      </c>
      <c r="E470" s="57" t="str">
        <f>IF(K470="","",VLOOKUP(F470,Tabelle1!$A$2:$M$496,13,0))</f>
        <v/>
      </c>
      <c r="F470" s="56"/>
      <c r="G470" s="57"/>
      <c r="H470" s="57"/>
      <c r="I470" s="57"/>
      <c r="J470" s="57"/>
      <c r="K470" s="57" t="str">
        <f t="shared" si="24"/>
        <v/>
      </c>
      <c r="L470" s="57" t="str">
        <f>IF(K470="","",VLOOKUP(F470,Tabelle1!$A$2:$I$496,9,0))</f>
        <v/>
      </c>
      <c r="M470" s="57" t="str">
        <f>IF(K470="","",VLOOKUP(F470,Tabelle1!$A$2:$G$496,7,0))</f>
        <v/>
      </c>
      <c r="N470" s="66" t="str">
        <f t="shared" si="25"/>
        <v/>
      </c>
      <c r="O470" s="66" t="str">
        <f>IF(K470="","",((K470*VLOOKUP(F470,Tabelle1!$A$2:$I$496,8,0))/$W$4))</f>
        <v/>
      </c>
      <c r="P470" s="76" t="str">
        <f>IF(K470="","",VLOOKUP(F470,Tabelle1!$A$2:$L$496,12,0))</f>
        <v/>
      </c>
    </row>
    <row r="471" spans="1:16">
      <c r="A471" s="67"/>
      <c r="B471" s="55"/>
      <c r="C471" s="55"/>
      <c r="D471" s="57" t="str">
        <f>IF(K471="","",VLOOKUP(F471,Tabelle1!$A$2:$C$496,3,0))</f>
        <v/>
      </c>
      <c r="E471" s="57" t="str">
        <f>IF(K471="","",VLOOKUP(F471,Tabelle1!$A$2:$M$496,13,0))</f>
        <v/>
      </c>
      <c r="F471" s="56"/>
      <c r="G471" s="57"/>
      <c r="H471" s="57"/>
      <c r="I471" s="57"/>
      <c r="J471" s="57"/>
      <c r="K471" s="57" t="str">
        <f t="shared" si="24"/>
        <v/>
      </c>
      <c r="L471" s="57" t="str">
        <f>IF(K471="","",VLOOKUP(F471,Tabelle1!$A$2:$I$496,9,0))</f>
        <v/>
      </c>
      <c r="M471" s="57" t="str">
        <f>IF(K471="","",VLOOKUP(F471,Tabelle1!$A$2:$G$496,7,0))</f>
        <v/>
      </c>
      <c r="N471" s="66" t="str">
        <f t="shared" si="25"/>
        <v/>
      </c>
      <c r="O471" s="66" t="str">
        <f>IF(K471="","",((K471*VLOOKUP(F471,Tabelle1!$A$2:$I$496,8,0))/$W$4))</f>
        <v/>
      </c>
      <c r="P471" s="76" t="str">
        <f>IF(K471="","",VLOOKUP(F471,Tabelle1!$A$2:$L$496,12,0))</f>
        <v/>
      </c>
    </row>
    <row r="472" spans="1:16">
      <c r="A472" s="67"/>
      <c r="B472" s="55"/>
      <c r="C472" s="55"/>
      <c r="D472" s="57" t="str">
        <f>IF(K472="","",VLOOKUP(F472,Tabelle1!$A$2:$C$496,3,0))</f>
        <v/>
      </c>
      <c r="E472" s="57" t="str">
        <f>IF(K472="","",VLOOKUP(F472,Tabelle1!$A$2:$M$496,13,0))</f>
        <v/>
      </c>
      <c r="F472" s="56"/>
      <c r="G472" s="57"/>
      <c r="H472" s="57"/>
      <c r="I472" s="57"/>
      <c r="J472" s="57"/>
      <c r="K472" s="57" t="str">
        <f t="shared" si="24"/>
        <v/>
      </c>
      <c r="L472" s="57" t="str">
        <f>IF(K472="","",VLOOKUP(F472,Tabelle1!$A$2:$I$496,9,0))</f>
        <v/>
      </c>
      <c r="M472" s="57" t="str">
        <f>IF(K472="","",VLOOKUP(F472,Tabelle1!$A$2:$G$496,7,0))</f>
        <v/>
      </c>
      <c r="N472" s="66" t="str">
        <f t="shared" si="25"/>
        <v/>
      </c>
      <c r="O472" s="66" t="str">
        <f>IF(K472="","",((K472*VLOOKUP(F472,Tabelle1!$A$2:$I$496,8,0))/$W$4))</f>
        <v/>
      </c>
      <c r="P472" s="76" t="str">
        <f>IF(K472="","",VLOOKUP(F472,Tabelle1!$A$2:$L$496,12,0))</f>
        <v/>
      </c>
    </row>
    <row r="473" spans="1:16">
      <c r="A473" s="67"/>
      <c r="B473" s="55"/>
      <c r="C473" s="55"/>
      <c r="D473" s="57" t="str">
        <f>IF(K473="","",VLOOKUP(F473,Tabelle1!$A$2:$C$496,3,0))</f>
        <v/>
      </c>
      <c r="E473" s="57" t="str">
        <f>IF(K473="","",VLOOKUP(F473,Tabelle1!$A$2:$M$496,13,0))</f>
        <v/>
      </c>
      <c r="F473" s="56"/>
      <c r="G473" s="57"/>
      <c r="H473" s="57"/>
      <c r="I473" s="57"/>
      <c r="J473" s="57"/>
      <c r="K473" s="57" t="str">
        <f t="shared" si="24"/>
        <v/>
      </c>
      <c r="L473" s="57" t="str">
        <f>IF(K473="","",VLOOKUP(F473,Tabelle1!$A$2:$I$496,9,0))</f>
        <v/>
      </c>
      <c r="M473" s="57" t="str">
        <f>IF(K473="","",VLOOKUP(F473,Tabelle1!$A$2:$G$496,7,0))</f>
        <v/>
      </c>
      <c r="N473" s="66" t="str">
        <f t="shared" si="25"/>
        <v/>
      </c>
      <c r="O473" s="66" t="str">
        <f>IF(K473="","",((K473*VLOOKUP(F473,Tabelle1!$A$2:$I$496,8,0))/$W$4))</f>
        <v/>
      </c>
      <c r="P473" s="76" t="str">
        <f>IF(K473="","",VLOOKUP(F473,Tabelle1!$A$2:$L$496,12,0))</f>
        <v/>
      </c>
    </row>
    <row r="474" spans="1:16">
      <c r="A474" s="67"/>
      <c r="B474" s="55"/>
      <c r="C474" s="55"/>
      <c r="D474" s="57" t="str">
        <f>IF(K474="","",VLOOKUP(F474,Tabelle1!$A$2:$C$496,3,0))</f>
        <v/>
      </c>
      <c r="E474" s="57" t="str">
        <f>IF(K474="","",VLOOKUP(F474,Tabelle1!$A$2:$M$496,13,0))</f>
        <v/>
      </c>
      <c r="F474" s="56"/>
      <c r="G474" s="57"/>
      <c r="H474" s="57"/>
      <c r="I474" s="57"/>
      <c r="J474" s="57"/>
      <c r="K474" s="57" t="str">
        <f t="shared" si="24"/>
        <v/>
      </c>
      <c r="L474" s="57" t="str">
        <f>IF(K474="","",VLOOKUP(F474,Tabelle1!$A$2:$I$496,9,0))</f>
        <v/>
      </c>
      <c r="M474" s="57" t="str">
        <f>IF(K474="","",VLOOKUP(F474,Tabelle1!$A$2:$G$496,7,0))</f>
        <v/>
      </c>
      <c r="N474" s="66" t="str">
        <f t="shared" si="25"/>
        <v/>
      </c>
      <c r="O474" s="66" t="str">
        <f>IF(K474="","",((K474*VLOOKUP(F474,Tabelle1!$A$2:$I$496,8,0))/$W$4))</f>
        <v/>
      </c>
      <c r="P474" s="76" t="str">
        <f>IF(K474="","",VLOOKUP(F474,Tabelle1!$A$2:$L$496,12,0))</f>
        <v/>
      </c>
    </row>
    <row r="475" spans="1:16">
      <c r="A475" s="67"/>
      <c r="B475" s="55"/>
      <c r="C475" s="55"/>
      <c r="D475" s="57" t="str">
        <f>IF(K475="","",VLOOKUP(F475,Tabelle1!$A$2:$C$496,3,0))</f>
        <v/>
      </c>
      <c r="E475" s="57" t="str">
        <f>IF(K475="","",VLOOKUP(F475,Tabelle1!$A$2:$M$496,13,0))</f>
        <v/>
      </c>
      <c r="F475" s="56"/>
      <c r="G475" s="57"/>
      <c r="H475" s="57"/>
      <c r="I475" s="57"/>
      <c r="J475" s="57"/>
      <c r="K475" s="57" t="str">
        <f t="shared" si="24"/>
        <v/>
      </c>
      <c r="L475" s="57" t="str">
        <f>IF(K475="","",VLOOKUP(F475,Tabelle1!$A$2:$I$496,9,0))</f>
        <v/>
      </c>
      <c r="M475" s="57" t="str">
        <f>IF(K475="","",VLOOKUP(F475,Tabelle1!$A$2:$G$496,7,0))</f>
        <v/>
      </c>
      <c r="N475" s="66" t="str">
        <f t="shared" si="25"/>
        <v/>
      </c>
      <c r="O475" s="66" t="str">
        <f>IF(K475="","",((K475*VLOOKUP(F475,Tabelle1!$A$2:$I$496,8,0))/$W$4))</f>
        <v/>
      </c>
      <c r="P475" s="76" t="str">
        <f>IF(K475="","",VLOOKUP(F475,Tabelle1!$A$2:$L$496,12,0))</f>
        <v/>
      </c>
    </row>
    <row r="476" spans="1:16">
      <c r="A476" s="67"/>
      <c r="B476" s="55"/>
      <c r="C476" s="55"/>
      <c r="D476" s="57" t="str">
        <f>IF(K476="","",VLOOKUP(F476,Tabelle1!$A$2:$C$496,3,0))</f>
        <v/>
      </c>
      <c r="E476" s="57" t="str">
        <f>IF(K476="","",VLOOKUP(F476,Tabelle1!$A$2:$M$496,13,0))</f>
        <v/>
      </c>
      <c r="F476" s="56"/>
      <c r="G476" s="57"/>
      <c r="H476" s="57"/>
      <c r="I476" s="57"/>
      <c r="J476" s="57"/>
      <c r="K476" s="57" t="str">
        <f t="shared" si="24"/>
        <v/>
      </c>
      <c r="L476" s="57" t="str">
        <f>IF(K476="","",VLOOKUP(F476,Tabelle1!$A$2:$I$496,9,0))</f>
        <v/>
      </c>
      <c r="M476" s="57" t="str">
        <f>IF(K476="","",VLOOKUP(F476,Tabelle1!$A$2:$G$496,7,0))</f>
        <v/>
      </c>
      <c r="N476" s="66" t="str">
        <f t="shared" si="25"/>
        <v/>
      </c>
      <c r="O476" s="66" t="str">
        <f>IF(K476="","",((K476*VLOOKUP(F476,Tabelle1!$A$2:$I$496,8,0))/$W$4))</f>
        <v/>
      </c>
      <c r="P476" s="76" t="str">
        <f>IF(K476="","",VLOOKUP(F476,Tabelle1!$A$2:$L$496,12,0))</f>
        <v/>
      </c>
    </row>
    <row r="477" spans="1:16">
      <c r="A477" s="67"/>
      <c r="B477" s="55"/>
      <c r="C477" s="55"/>
      <c r="D477" s="57" t="str">
        <f>IF(K477="","",VLOOKUP(F477,Tabelle1!$A$2:$C$496,3,0))</f>
        <v/>
      </c>
      <c r="E477" s="57" t="str">
        <f>IF(K477="","",VLOOKUP(F477,Tabelle1!$A$2:$M$496,13,0))</f>
        <v/>
      </c>
      <c r="F477" s="56"/>
      <c r="G477" s="57"/>
      <c r="H477" s="57"/>
      <c r="I477" s="57"/>
      <c r="J477" s="57"/>
      <c r="K477" s="57" t="str">
        <f t="shared" si="24"/>
        <v/>
      </c>
      <c r="L477" s="57" t="str">
        <f>IF(K477="","",VLOOKUP(F477,Tabelle1!$A$2:$I$496,9,0))</f>
        <v/>
      </c>
      <c r="M477" s="57" t="str">
        <f>IF(K477="","",VLOOKUP(F477,Tabelle1!$A$2:$G$496,7,0))</f>
        <v/>
      </c>
      <c r="N477" s="66" t="str">
        <f t="shared" si="25"/>
        <v/>
      </c>
      <c r="O477" s="66" t="str">
        <f>IF(K477="","",((K477*VLOOKUP(F477,Tabelle1!$A$2:$I$496,8,0))/$W$4))</f>
        <v/>
      </c>
      <c r="P477" s="76" t="str">
        <f>IF(K477="","",VLOOKUP(F477,Tabelle1!$A$2:$L$496,12,0))</f>
        <v/>
      </c>
    </row>
    <row r="478" spans="1:16">
      <c r="A478" s="67"/>
      <c r="B478" s="55"/>
      <c r="C478" s="55"/>
      <c r="D478" s="57" t="str">
        <f>IF(K478="","",VLOOKUP(F478,Tabelle1!$A$2:$C$496,3,0))</f>
        <v/>
      </c>
      <c r="E478" s="57" t="str">
        <f>IF(K478="","",VLOOKUP(F478,Tabelle1!$A$2:$M$496,13,0))</f>
        <v/>
      </c>
      <c r="F478" s="56"/>
      <c r="G478" s="57"/>
      <c r="H478" s="57"/>
      <c r="I478" s="57"/>
      <c r="J478" s="57"/>
      <c r="K478" s="57" t="str">
        <f t="shared" si="24"/>
        <v/>
      </c>
      <c r="L478" s="57" t="str">
        <f>IF(K478="","",VLOOKUP(F478,Tabelle1!$A$2:$I$496,9,0))</f>
        <v/>
      </c>
      <c r="M478" s="57" t="str">
        <f>IF(K478="","",VLOOKUP(F478,Tabelle1!$A$2:$G$496,7,0))</f>
        <v/>
      </c>
      <c r="N478" s="66" t="str">
        <f t="shared" si="25"/>
        <v/>
      </c>
      <c r="O478" s="66" t="str">
        <f>IF(K478="","",((K478*VLOOKUP(F478,Tabelle1!$A$2:$I$496,8,0))/$W$4))</f>
        <v/>
      </c>
      <c r="P478" s="76" t="str">
        <f>IF(K478="","",VLOOKUP(F478,Tabelle1!$A$2:$L$496,12,0))</f>
        <v/>
      </c>
    </row>
    <row r="479" spans="1:16">
      <c r="A479" s="67"/>
      <c r="B479" s="55"/>
      <c r="C479" s="55"/>
      <c r="D479" s="57" t="str">
        <f>IF(K479="","",VLOOKUP(F479,Tabelle1!$A$2:$C$496,3,0))</f>
        <v/>
      </c>
      <c r="E479" s="57" t="str">
        <f>IF(K479="","",VLOOKUP(F479,Tabelle1!$A$2:$M$496,13,0))</f>
        <v/>
      </c>
      <c r="F479" s="56"/>
      <c r="G479" s="57"/>
      <c r="H479" s="57"/>
      <c r="I479" s="57"/>
      <c r="J479" s="57"/>
      <c r="K479" s="57" t="str">
        <f t="shared" si="24"/>
        <v/>
      </c>
      <c r="L479" s="57" t="str">
        <f>IF(K479="","",VLOOKUP(F479,Tabelle1!$A$2:$I$496,9,0))</f>
        <v/>
      </c>
      <c r="M479" s="57" t="str">
        <f>IF(K479="","",VLOOKUP(F479,Tabelle1!$A$2:$G$496,7,0))</f>
        <v/>
      </c>
      <c r="N479" s="66" t="str">
        <f t="shared" si="25"/>
        <v/>
      </c>
      <c r="O479" s="66" t="str">
        <f>IF(K479="","",((K479*VLOOKUP(F479,Tabelle1!$A$2:$I$496,8,0))/$W$4))</f>
        <v/>
      </c>
      <c r="P479" s="76" t="str">
        <f>IF(K479="","",VLOOKUP(F479,Tabelle1!$A$2:$L$496,12,0))</f>
        <v/>
      </c>
    </row>
    <row r="480" spans="1:16">
      <c r="A480" s="67"/>
      <c r="B480" s="55"/>
      <c r="C480" s="55"/>
      <c r="D480" s="57" t="str">
        <f>IF(K480="","",VLOOKUP(F480,Tabelle1!$A$2:$C$496,3,0))</f>
        <v/>
      </c>
      <c r="E480" s="57" t="str">
        <f>IF(K480="","",VLOOKUP(F480,Tabelle1!$A$2:$M$496,13,0))</f>
        <v/>
      </c>
      <c r="F480" s="56"/>
      <c r="G480" s="57"/>
      <c r="H480" s="57"/>
      <c r="I480" s="57"/>
      <c r="J480" s="57"/>
      <c r="K480" s="57" t="str">
        <f t="shared" si="24"/>
        <v/>
      </c>
      <c r="L480" s="57" t="str">
        <f>IF(K480="","",VLOOKUP(F480,Tabelle1!$A$2:$I$496,9,0))</f>
        <v/>
      </c>
      <c r="M480" s="57" t="str">
        <f>IF(K480="","",VLOOKUP(F480,Tabelle1!$A$2:$G$496,7,0))</f>
        <v/>
      </c>
      <c r="N480" s="66" t="str">
        <f t="shared" si="25"/>
        <v/>
      </c>
      <c r="O480" s="66" t="str">
        <f>IF(K480="","",((K480*VLOOKUP(F480,Tabelle1!$A$2:$I$496,8,0))/$W$4))</f>
        <v/>
      </c>
      <c r="P480" s="76" t="str">
        <f>IF(K480="","",VLOOKUP(F480,Tabelle1!$A$2:$L$496,12,0))</f>
        <v/>
      </c>
    </row>
    <row r="481" spans="1:16">
      <c r="A481" s="67"/>
      <c r="B481" s="55"/>
      <c r="C481" s="55"/>
      <c r="D481" s="57" t="str">
        <f>IF(K481="","",VLOOKUP(F481,Tabelle1!$A$2:$C$496,3,0))</f>
        <v/>
      </c>
      <c r="E481" s="57" t="str">
        <f>IF(K481="","",VLOOKUP(F481,Tabelle1!$A$2:$M$496,13,0))</f>
        <v/>
      </c>
      <c r="F481" s="56"/>
      <c r="G481" s="57"/>
      <c r="H481" s="57"/>
      <c r="I481" s="57"/>
      <c r="J481" s="57"/>
      <c r="K481" s="57" t="str">
        <f t="shared" si="24"/>
        <v/>
      </c>
      <c r="L481" s="57" t="str">
        <f>IF(K481="","",VLOOKUP(F481,Tabelle1!$A$2:$I$496,9,0))</f>
        <v/>
      </c>
      <c r="M481" s="57" t="str">
        <f>IF(K481="","",VLOOKUP(F481,Tabelle1!$A$2:$G$496,7,0))</f>
        <v/>
      </c>
      <c r="N481" s="66" t="str">
        <f t="shared" si="25"/>
        <v/>
      </c>
      <c r="O481" s="66" t="str">
        <f>IF(K481="","",((K481*VLOOKUP(F481,Tabelle1!$A$2:$I$496,8,0))/$W$4))</f>
        <v/>
      </c>
      <c r="P481" s="76" t="str">
        <f>IF(K481="","",VLOOKUP(F481,Tabelle1!$A$2:$L$496,12,0))</f>
        <v/>
      </c>
    </row>
    <row r="482" spans="1:16">
      <c r="A482" s="67"/>
      <c r="B482" s="55"/>
      <c r="C482" s="55"/>
      <c r="D482" s="57" t="str">
        <f>IF(K482="","",VLOOKUP(F482,Tabelle1!$A$2:$C$496,3,0))</f>
        <v/>
      </c>
      <c r="E482" s="57" t="str">
        <f>IF(K482="","",VLOOKUP(F482,Tabelle1!$A$2:$M$496,13,0))</f>
        <v/>
      </c>
      <c r="F482" s="56"/>
      <c r="G482" s="57"/>
      <c r="H482" s="57"/>
      <c r="I482" s="57"/>
      <c r="J482" s="57"/>
      <c r="K482" s="57" t="str">
        <f t="shared" si="24"/>
        <v/>
      </c>
      <c r="L482" s="57" t="str">
        <f>IF(K482="","",VLOOKUP(F482,Tabelle1!$A$2:$I$496,9,0))</f>
        <v/>
      </c>
      <c r="M482" s="57" t="str">
        <f>IF(K482="","",VLOOKUP(F482,Tabelle1!$A$2:$G$496,7,0))</f>
        <v/>
      </c>
      <c r="N482" s="66" t="str">
        <f t="shared" si="25"/>
        <v/>
      </c>
      <c r="O482" s="66" t="str">
        <f>IF(K482="","",((K482*VLOOKUP(F482,Tabelle1!$A$2:$I$496,8,0))/$W$4))</f>
        <v/>
      </c>
      <c r="P482" s="76" t="str">
        <f>IF(K482="","",VLOOKUP(F482,Tabelle1!$A$2:$L$496,12,0))</f>
        <v/>
      </c>
    </row>
    <row r="483" spans="1:16">
      <c r="A483" s="67"/>
      <c r="B483" s="55"/>
      <c r="C483" s="55"/>
      <c r="D483" s="57" t="str">
        <f>IF(K483="","",VLOOKUP(F483,Tabelle1!$A$2:$C$496,3,0))</f>
        <v/>
      </c>
      <c r="E483" s="57" t="str">
        <f>IF(K483="","",VLOOKUP(F483,Tabelle1!$A$2:$M$496,13,0))</f>
        <v/>
      </c>
      <c r="F483" s="56"/>
      <c r="G483" s="57"/>
      <c r="H483" s="57"/>
      <c r="I483" s="57"/>
      <c r="J483" s="57"/>
      <c r="K483" s="57" t="str">
        <f t="shared" si="24"/>
        <v/>
      </c>
      <c r="L483" s="57" t="str">
        <f>IF(K483="","",VLOOKUP(F483,Tabelle1!$A$2:$I$496,9,0))</f>
        <v/>
      </c>
      <c r="M483" s="57" t="str">
        <f>IF(K483="","",VLOOKUP(F483,Tabelle1!$A$2:$G$496,7,0))</f>
        <v/>
      </c>
      <c r="N483" s="66" t="str">
        <f t="shared" si="25"/>
        <v/>
      </c>
      <c r="O483" s="66" t="str">
        <f>IF(K483="","",((K483*VLOOKUP(F483,Tabelle1!$A$2:$I$496,8,0))/$W$4))</f>
        <v/>
      </c>
      <c r="P483" s="76" t="str">
        <f>IF(K483="","",VLOOKUP(F483,Tabelle1!$A$2:$L$496,12,0))</f>
        <v/>
      </c>
    </row>
    <row r="484" spans="1:16">
      <c r="A484" s="67"/>
      <c r="B484" s="55"/>
      <c r="C484" s="55"/>
      <c r="D484" s="57" t="str">
        <f>IF(K484="","",VLOOKUP(F484,Tabelle1!$A$2:$C$496,3,0))</f>
        <v/>
      </c>
      <c r="E484" s="57" t="str">
        <f>IF(K484="","",VLOOKUP(F484,Tabelle1!$A$2:$M$496,13,0))</f>
        <v/>
      </c>
      <c r="F484" s="56"/>
      <c r="G484" s="57"/>
      <c r="H484" s="57"/>
      <c r="I484" s="57"/>
      <c r="J484" s="57"/>
      <c r="K484" s="57" t="str">
        <f t="shared" si="24"/>
        <v/>
      </c>
      <c r="L484" s="57" t="str">
        <f>IF(K484="","",VLOOKUP(F484,Tabelle1!$A$2:$I$496,9,0))</f>
        <v/>
      </c>
      <c r="M484" s="57" t="str">
        <f>IF(K484="","",VLOOKUP(F484,Tabelle1!$A$2:$G$496,7,0))</f>
        <v/>
      </c>
      <c r="N484" s="66" t="str">
        <f t="shared" si="25"/>
        <v/>
      </c>
      <c r="O484" s="66" t="str">
        <f>IF(K484="","",((K484*VLOOKUP(F484,Tabelle1!$A$2:$I$496,8,0))/$W$4))</f>
        <v/>
      </c>
      <c r="P484" s="76" t="str">
        <f>IF(K484="","",VLOOKUP(F484,Tabelle1!$A$2:$L$496,12,0))</f>
        <v/>
      </c>
    </row>
    <row r="485" spans="1:16">
      <c r="A485" s="67"/>
      <c r="B485" s="55"/>
      <c r="C485" s="55"/>
      <c r="D485" s="57" t="str">
        <f>IF(K485="","",VLOOKUP(F485,Tabelle1!$A$2:$C$496,3,0))</f>
        <v/>
      </c>
      <c r="E485" s="57" t="str">
        <f>IF(K485="","",VLOOKUP(F485,Tabelle1!$A$2:$M$496,13,0))</f>
        <v/>
      </c>
      <c r="F485" s="56"/>
      <c r="G485" s="57"/>
      <c r="H485" s="57"/>
      <c r="I485" s="57"/>
      <c r="J485" s="57"/>
      <c r="K485" s="57" t="str">
        <f t="shared" si="24"/>
        <v/>
      </c>
      <c r="L485" s="57" t="str">
        <f>IF(K485="","",VLOOKUP(F485,Tabelle1!$A$2:$I$496,9,0))</f>
        <v/>
      </c>
      <c r="M485" s="57" t="str">
        <f>IF(K485="","",VLOOKUP(F485,Tabelle1!$A$2:$G$496,7,0))</f>
        <v/>
      </c>
      <c r="N485" s="66" t="str">
        <f t="shared" si="25"/>
        <v/>
      </c>
      <c r="O485" s="66" t="str">
        <f>IF(K485="","",((K485*VLOOKUP(F485,Tabelle1!$A$2:$I$496,8,0))/$W$4))</f>
        <v/>
      </c>
      <c r="P485" s="76" t="str">
        <f>IF(K485="","",VLOOKUP(F485,Tabelle1!$A$2:$L$496,12,0))</f>
        <v/>
      </c>
    </row>
    <row r="486" spans="1:16">
      <c r="A486" s="67"/>
      <c r="B486" s="55"/>
      <c r="C486" s="55"/>
      <c r="D486" s="57" t="str">
        <f>IF(K486="","",VLOOKUP(F486,Tabelle1!$A$2:$C$496,3,0))</f>
        <v/>
      </c>
      <c r="E486" s="57" t="str">
        <f>IF(K486="","",VLOOKUP(F486,Tabelle1!$A$2:$M$496,13,0))</f>
        <v/>
      </c>
      <c r="F486" s="56"/>
      <c r="G486" s="57"/>
      <c r="H486" s="57"/>
      <c r="I486" s="57"/>
      <c r="J486" s="57"/>
      <c r="K486" s="57" t="str">
        <f t="shared" si="24"/>
        <v/>
      </c>
      <c r="L486" s="57" t="str">
        <f>IF(K486="","",VLOOKUP(F486,Tabelle1!$A$2:$I$496,9,0))</f>
        <v/>
      </c>
      <c r="M486" s="57" t="str">
        <f>IF(K486="","",VLOOKUP(F486,Tabelle1!$A$2:$G$496,7,0))</f>
        <v/>
      </c>
      <c r="N486" s="66" t="str">
        <f t="shared" si="25"/>
        <v/>
      </c>
      <c r="O486" s="66" t="str">
        <f>IF(K486="","",((K486*VLOOKUP(F486,Tabelle1!$A$2:$I$496,8,0))/$W$4))</f>
        <v/>
      </c>
      <c r="P486" s="76" t="str">
        <f>IF(K486="","",VLOOKUP(F486,Tabelle1!$A$2:$L$496,12,0))</f>
        <v/>
      </c>
    </row>
    <row r="487" spans="1:16">
      <c r="A487" s="67"/>
      <c r="B487" s="55"/>
      <c r="C487" s="55"/>
      <c r="D487" s="57" t="str">
        <f>IF(K487="","",VLOOKUP(F487,Tabelle1!$A$2:$C$496,3,0))</f>
        <v/>
      </c>
      <c r="E487" s="57" t="str">
        <f>IF(K487="","",VLOOKUP(F487,Tabelle1!$A$2:$M$496,13,0))</f>
        <v/>
      </c>
      <c r="F487" s="56"/>
      <c r="G487" s="57"/>
      <c r="H487" s="57"/>
      <c r="I487" s="57"/>
      <c r="J487" s="57"/>
      <c r="K487" s="57" t="str">
        <f t="shared" si="24"/>
        <v/>
      </c>
      <c r="L487" s="57" t="str">
        <f>IF(K487="","",VLOOKUP(F487,Tabelle1!$A$2:$I$496,9,0))</f>
        <v/>
      </c>
      <c r="M487" s="57" t="str">
        <f>IF(K487="","",VLOOKUP(F487,Tabelle1!$A$2:$G$496,7,0))</f>
        <v/>
      </c>
      <c r="N487" s="66" t="str">
        <f t="shared" si="25"/>
        <v/>
      </c>
      <c r="O487" s="66" t="str">
        <f>IF(K487="","",((K487*VLOOKUP(F487,Tabelle1!$A$2:$I$496,8,0))/$W$4))</f>
        <v/>
      </c>
      <c r="P487" s="76" t="str">
        <f>IF(K487="","",VLOOKUP(F487,Tabelle1!$A$2:$L$496,12,0))</f>
        <v/>
      </c>
    </row>
    <row r="488" spans="1:16">
      <c r="A488" s="67"/>
      <c r="B488" s="55"/>
      <c r="C488" s="55"/>
      <c r="D488" s="57" t="str">
        <f>IF(K488="","",VLOOKUP(F488,Tabelle1!$A$2:$C$496,3,0))</f>
        <v/>
      </c>
      <c r="E488" s="57" t="str">
        <f>IF(K488="","",VLOOKUP(F488,Tabelle1!$A$2:$M$496,13,0))</f>
        <v/>
      </c>
      <c r="F488" s="56"/>
      <c r="G488" s="57"/>
      <c r="H488" s="57"/>
      <c r="I488" s="57"/>
      <c r="J488" s="57"/>
      <c r="K488" s="57" t="str">
        <f t="shared" si="24"/>
        <v/>
      </c>
      <c r="L488" s="57" t="str">
        <f>IF(K488="","",VLOOKUP(F488,Tabelle1!$A$2:$I$496,9,0))</f>
        <v/>
      </c>
      <c r="M488" s="57" t="str">
        <f>IF(K488="","",VLOOKUP(F488,Tabelle1!$A$2:$G$496,7,0))</f>
        <v/>
      </c>
      <c r="N488" s="66" t="str">
        <f t="shared" si="25"/>
        <v/>
      </c>
      <c r="O488" s="66" t="str">
        <f>IF(K488="","",((K488*VLOOKUP(F488,Tabelle1!$A$2:$I$496,8,0))/$W$4))</f>
        <v/>
      </c>
      <c r="P488" s="76" t="str">
        <f>IF(K488="","",VLOOKUP(F488,Tabelle1!$A$2:$L$496,12,0))</f>
        <v/>
      </c>
    </row>
    <row r="489" spans="1:16">
      <c r="A489" s="67"/>
      <c r="B489" s="55"/>
      <c r="C489" s="55"/>
      <c r="D489" s="57" t="str">
        <f>IF(K489="","",VLOOKUP(F489,Tabelle1!$A$2:$C$496,3,0))</f>
        <v/>
      </c>
      <c r="E489" s="57" t="str">
        <f>IF(K489="","",VLOOKUP(F489,Tabelle1!$A$2:$M$496,13,0))</f>
        <v/>
      </c>
      <c r="F489" s="56"/>
      <c r="G489" s="57"/>
      <c r="H489" s="57"/>
      <c r="I489" s="57"/>
      <c r="J489" s="57"/>
      <c r="K489" s="57" t="str">
        <f t="shared" si="24"/>
        <v/>
      </c>
      <c r="L489" s="57" t="str">
        <f>IF(K489="","",VLOOKUP(F489,Tabelle1!$A$2:$I$496,9,0))</f>
        <v/>
      </c>
      <c r="M489" s="57" t="str">
        <f>IF(K489="","",VLOOKUP(F489,Tabelle1!$A$2:$G$496,7,0))</f>
        <v/>
      </c>
      <c r="N489" s="66" t="str">
        <f t="shared" si="25"/>
        <v/>
      </c>
      <c r="O489" s="66" t="str">
        <f>IF(K489="","",((K489*VLOOKUP(F489,Tabelle1!$A$2:$I$496,8,0))/$W$4))</f>
        <v/>
      </c>
      <c r="P489" s="76" t="str">
        <f>IF(K489="","",VLOOKUP(F489,Tabelle1!$A$2:$L$496,12,0))</f>
        <v/>
      </c>
    </row>
    <row r="490" spans="1:16">
      <c r="A490" s="67"/>
      <c r="B490" s="55"/>
      <c r="C490" s="55"/>
      <c r="D490" s="57" t="str">
        <f>IF(K490="","",VLOOKUP(F490,Tabelle1!$A$2:$C$496,3,0))</f>
        <v/>
      </c>
      <c r="E490" s="57" t="str">
        <f>IF(K490="","",VLOOKUP(F490,Tabelle1!$A$2:$M$496,13,0))</f>
        <v/>
      </c>
      <c r="F490" s="56"/>
      <c r="G490" s="57"/>
      <c r="H490" s="57"/>
      <c r="I490" s="57"/>
      <c r="J490" s="57"/>
      <c r="K490" s="57" t="str">
        <f t="shared" si="24"/>
        <v/>
      </c>
      <c r="L490" s="57" t="str">
        <f>IF(K490="","",VLOOKUP(F490,Tabelle1!$A$2:$I$496,9,0))</f>
        <v/>
      </c>
      <c r="M490" s="57" t="str">
        <f>IF(K490="","",VLOOKUP(F490,Tabelle1!$A$2:$G$496,7,0))</f>
        <v/>
      </c>
      <c r="N490" s="66" t="str">
        <f t="shared" si="25"/>
        <v/>
      </c>
      <c r="O490" s="66" t="str">
        <f>IF(K490="","",((K490*VLOOKUP(F490,Tabelle1!$A$2:$I$496,8,0))/$W$4))</f>
        <v/>
      </c>
      <c r="P490" s="76" t="str">
        <f>IF(K490="","",VLOOKUP(F490,Tabelle1!$A$2:$L$496,12,0))</f>
        <v/>
      </c>
    </row>
    <row r="491" spans="1:16">
      <c r="A491" s="67"/>
      <c r="B491" s="55"/>
      <c r="C491" s="55"/>
      <c r="D491" s="57" t="str">
        <f>IF(K491="","",VLOOKUP(F491,Tabelle1!$A$2:$C$496,3,0))</f>
        <v/>
      </c>
      <c r="E491" s="57" t="str">
        <f>IF(K491="","",VLOOKUP(F491,Tabelle1!$A$2:$M$496,13,0))</f>
        <v/>
      </c>
      <c r="F491" s="56"/>
      <c r="G491" s="57"/>
      <c r="H491" s="57"/>
      <c r="I491" s="57"/>
      <c r="J491" s="57"/>
      <c r="K491" s="57" t="str">
        <f t="shared" si="24"/>
        <v/>
      </c>
      <c r="L491" s="57" t="str">
        <f>IF(K491="","",VLOOKUP(F491,Tabelle1!$A$2:$I$496,9,0))</f>
        <v/>
      </c>
      <c r="M491" s="57" t="str">
        <f>IF(K491="","",VLOOKUP(F491,Tabelle1!$A$2:$G$496,7,0))</f>
        <v/>
      </c>
      <c r="N491" s="66" t="str">
        <f t="shared" si="25"/>
        <v/>
      </c>
      <c r="O491" s="66" t="str">
        <f>IF(K491="","",((K491*VLOOKUP(F491,Tabelle1!$A$2:$I$496,8,0))/$W$4))</f>
        <v/>
      </c>
      <c r="P491" s="76" t="str">
        <f>IF(K491="","",VLOOKUP(F491,Tabelle1!$A$2:$L$496,12,0))</f>
        <v/>
      </c>
    </row>
    <row r="492" spans="1:16">
      <c r="A492" s="67"/>
      <c r="B492" s="55"/>
      <c r="C492" s="55"/>
      <c r="D492" s="57" t="str">
        <f>IF(K492="","",VLOOKUP(F492,Tabelle1!$A$2:$C$496,3,0))</f>
        <v/>
      </c>
      <c r="E492" s="57" t="str">
        <f>IF(K492="","",VLOOKUP(F492,Tabelle1!$A$2:$M$496,13,0))</f>
        <v/>
      </c>
      <c r="F492" s="56"/>
      <c r="G492" s="57"/>
      <c r="H492" s="57"/>
      <c r="I492" s="57"/>
      <c r="J492" s="57"/>
      <c r="K492" s="57" t="str">
        <f t="shared" si="24"/>
        <v/>
      </c>
      <c r="L492" s="57" t="str">
        <f>IF(K492="","",VLOOKUP(F492,Tabelle1!$A$2:$I$496,9,0))</f>
        <v/>
      </c>
      <c r="M492" s="57" t="str">
        <f>IF(K492="","",VLOOKUP(F492,Tabelle1!$A$2:$G$496,7,0))</f>
        <v/>
      </c>
      <c r="N492" s="66" t="str">
        <f t="shared" si="25"/>
        <v/>
      </c>
      <c r="O492" s="66" t="str">
        <f>IF(K492="","",((K492*VLOOKUP(F492,Tabelle1!$A$2:$I$496,8,0))/$W$4))</f>
        <v/>
      </c>
      <c r="P492" s="76" t="str">
        <f>IF(K492="","",VLOOKUP(F492,Tabelle1!$A$2:$L$496,12,0))</f>
        <v/>
      </c>
    </row>
    <row r="493" spans="1:16">
      <c r="A493" s="67"/>
      <c r="B493" s="55"/>
      <c r="C493" s="55"/>
      <c r="D493" s="57" t="str">
        <f>IF(K493="","",VLOOKUP(F493,Tabelle1!$A$2:$C$496,3,0))</f>
        <v/>
      </c>
      <c r="E493" s="57" t="str">
        <f>IF(K493="","",VLOOKUP(F493,Tabelle1!$A$2:$M$496,13,0))</f>
        <v/>
      </c>
      <c r="F493" s="56"/>
      <c r="G493" s="57"/>
      <c r="H493" s="57"/>
      <c r="I493" s="57"/>
      <c r="J493" s="57"/>
      <c r="K493" s="57" t="str">
        <f t="shared" si="24"/>
        <v/>
      </c>
      <c r="L493" s="57" t="str">
        <f>IF(K493="","",VLOOKUP(F493,Tabelle1!$A$2:$I$496,9,0))</f>
        <v/>
      </c>
      <c r="M493" s="57" t="str">
        <f>IF(K493="","",VLOOKUP(F493,Tabelle1!$A$2:$G$496,7,0))</f>
        <v/>
      </c>
      <c r="N493" s="66" t="str">
        <f t="shared" si="25"/>
        <v/>
      </c>
      <c r="O493" s="66" t="str">
        <f>IF(K493="","",((K493*VLOOKUP(F493,Tabelle1!$A$2:$I$496,8,0))/$W$4))</f>
        <v/>
      </c>
      <c r="P493" s="76" t="str">
        <f>IF(K493="","",VLOOKUP(F493,Tabelle1!$A$2:$L$496,12,0))</f>
        <v/>
      </c>
    </row>
    <row r="494" spans="1:16">
      <c r="A494" s="67"/>
      <c r="B494" s="55"/>
      <c r="C494" s="55"/>
      <c r="D494" s="57" t="str">
        <f>IF(K494="","",VLOOKUP(F494,Tabelle1!$A$2:$C$496,3,0))</f>
        <v/>
      </c>
      <c r="E494" s="57" t="str">
        <f>IF(K494="","",VLOOKUP(F494,Tabelle1!$A$2:$M$496,13,0))</f>
        <v/>
      </c>
      <c r="F494" s="56"/>
      <c r="G494" s="57"/>
      <c r="H494" s="57"/>
      <c r="I494" s="57"/>
      <c r="J494" s="57"/>
      <c r="K494" s="57" t="str">
        <f t="shared" si="24"/>
        <v/>
      </c>
      <c r="L494" s="57" t="str">
        <f>IF(K494="","",VLOOKUP(F494,Tabelle1!$A$2:$I$496,9,0))</f>
        <v/>
      </c>
      <c r="M494" s="57" t="str">
        <f>IF(K494="","",VLOOKUP(F494,Tabelle1!$A$2:$G$496,7,0))</f>
        <v/>
      </c>
      <c r="N494" s="66" t="str">
        <f t="shared" si="25"/>
        <v/>
      </c>
      <c r="O494" s="66" t="str">
        <f>IF(K494="","",((K494*VLOOKUP(F494,Tabelle1!$A$2:$I$496,8,0))/$W$4))</f>
        <v/>
      </c>
      <c r="P494" s="76" t="str">
        <f>IF(K494="","",VLOOKUP(F494,Tabelle1!$A$2:$L$496,12,0))</f>
        <v/>
      </c>
    </row>
    <row r="495" spans="1:16">
      <c r="A495" s="67"/>
      <c r="B495" s="55"/>
      <c r="C495" s="55"/>
      <c r="D495" s="57" t="str">
        <f>IF(K495="","",VLOOKUP(F495,Tabelle1!$A$2:$C$496,3,0))</f>
        <v/>
      </c>
      <c r="E495" s="57" t="str">
        <f>IF(K495="","",VLOOKUP(F495,Tabelle1!$A$2:$M$496,13,0))</f>
        <v/>
      </c>
      <c r="F495" s="56"/>
      <c r="G495" s="57"/>
      <c r="H495" s="57"/>
      <c r="I495" s="57"/>
      <c r="J495" s="57"/>
      <c r="K495" s="57" t="str">
        <f t="shared" si="24"/>
        <v/>
      </c>
      <c r="L495" s="57" t="str">
        <f>IF(K495="","",VLOOKUP(F495,Tabelle1!$A$2:$I$496,9,0))</f>
        <v/>
      </c>
      <c r="M495" s="57" t="str">
        <f>IF(K495="","",VLOOKUP(F495,Tabelle1!$A$2:$G$496,7,0))</f>
        <v/>
      </c>
      <c r="N495" s="66" t="str">
        <f t="shared" si="25"/>
        <v/>
      </c>
      <c r="O495" s="66" t="str">
        <f>IF(K495="","",((K495*VLOOKUP(F495,Tabelle1!$A$2:$I$496,8,0))/$W$4))</f>
        <v/>
      </c>
      <c r="P495" s="76" t="str">
        <f>IF(K495="","",VLOOKUP(F495,Tabelle1!$A$2:$L$496,12,0))</f>
        <v/>
      </c>
    </row>
    <row r="496" spans="1:16">
      <c r="A496" s="67"/>
      <c r="B496" s="55"/>
      <c r="C496" s="55"/>
      <c r="D496" s="57" t="str">
        <f>IF(K496="","",VLOOKUP(F496,Tabelle1!$A$2:$C$496,3,0))</f>
        <v/>
      </c>
      <c r="E496" s="57" t="str">
        <f>IF(K496="","",VLOOKUP(F496,Tabelle1!$A$2:$M$496,13,0))</f>
        <v/>
      </c>
      <c r="F496" s="56"/>
      <c r="G496" s="57"/>
      <c r="H496" s="57"/>
      <c r="I496" s="57"/>
      <c r="J496" s="57"/>
      <c r="K496" s="57" t="str">
        <f t="shared" si="24"/>
        <v/>
      </c>
      <c r="L496" s="57" t="str">
        <f>IF(K496="","",VLOOKUP(F496,Tabelle1!$A$2:$I$496,9,0))</f>
        <v/>
      </c>
      <c r="M496" s="57" t="str">
        <f>IF(K496="","",VLOOKUP(F496,Tabelle1!$A$2:$G$496,7,0))</f>
        <v/>
      </c>
      <c r="N496" s="66" t="str">
        <f t="shared" si="25"/>
        <v/>
      </c>
      <c r="O496" s="66" t="str">
        <f>IF(K496="","",((K496*VLOOKUP(F496,Tabelle1!$A$2:$I$496,8,0))/$W$4))</f>
        <v/>
      </c>
      <c r="P496" s="76" t="str">
        <f>IF(K496="","",VLOOKUP(F496,Tabelle1!$A$2:$L$496,12,0))</f>
        <v/>
      </c>
    </row>
    <row r="497" spans="1:16">
      <c r="A497" s="67"/>
      <c r="B497" s="55"/>
      <c r="C497" s="55"/>
      <c r="D497" s="57" t="str">
        <f>IF(K497="","",VLOOKUP(F497,Tabelle1!$A$2:$C$496,3,0))</f>
        <v/>
      </c>
      <c r="E497" s="57" t="str">
        <f>IF(K497="","",VLOOKUP(F497,Tabelle1!$A$2:$M$496,13,0))</f>
        <v/>
      </c>
      <c r="F497" s="56"/>
      <c r="G497" s="57"/>
      <c r="H497" s="57"/>
      <c r="I497" s="57"/>
      <c r="J497" s="57"/>
      <c r="K497" s="57" t="str">
        <f t="shared" si="24"/>
        <v/>
      </c>
      <c r="L497" s="57" t="str">
        <f>IF(K497="","",VLOOKUP(F497,Tabelle1!$A$2:$I$496,9,0))</f>
        <v/>
      </c>
      <c r="M497" s="57" t="str">
        <f>IF(K497="","",VLOOKUP(F497,Tabelle1!$A$2:$G$496,7,0))</f>
        <v/>
      </c>
      <c r="N497" s="66" t="str">
        <f t="shared" si="25"/>
        <v/>
      </c>
      <c r="O497" s="66" t="str">
        <f>IF(K497="","",((K497*VLOOKUP(F497,Tabelle1!$A$2:$I$496,8,0))/$W$4))</f>
        <v/>
      </c>
      <c r="P497" s="76" t="str">
        <f>IF(K497="","",VLOOKUP(F497,Tabelle1!$A$2:$L$496,12,0))</f>
        <v/>
      </c>
    </row>
    <row r="498" spans="1:16">
      <c r="A498" s="67"/>
      <c r="B498" s="55"/>
      <c r="C498" s="55"/>
      <c r="D498" s="57" t="str">
        <f>IF(K498="","",VLOOKUP(F498,Tabelle1!$A$2:$C$496,3,0))</f>
        <v/>
      </c>
      <c r="E498" s="57" t="str">
        <f>IF(K498="","",VLOOKUP(F498,Tabelle1!$A$2:$M$496,13,0))</f>
        <v/>
      </c>
      <c r="F498" s="56"/>
      <c r="G498" s="57"/>
      <c r="H498" s="57"/>
      <c r="I498" s="57"/>
      <c r="J498" s="57"/>
      <c r="K498" s="57" t="str">
        <f t="shared" si="24"/>
        <v/>
      </c>
      <c r="L498" s="57" t="str">
        <f>IF(K498="","",VLOOKUP(F498,Tabelle1!$A$2:$I$496,9,0))</f>
        <v/>
      </c>
      <c r="M498" s="57" t="str">
        <f>IF(K498="","",VLOOKUP(F498,Tabelle1!$A$2:$G$496,7,0))</f>
        <v/>
      </c>
      <c r="N498" s="66" t="str">
        <f t="shared" si="25"/>
        <v/>
      </c>
      <c r="O498" s="66" t="str">
        <f>IF(K498="","",((K498*VLOOKUP(F498,Tabelle1!$A$2:$I$496,8,0))/$W$4))</f>
        <v/>
      </c>
      <c r="P498" s="76" t="str">
        <f>IF(K498="","",VLOOKUP(F498,Tabelle1!$A$2:$L$496,12,0))</f>
        <v/>
      </c>
    </row>
    <row r="499" spans="1:16">
      <c r="A499" s="67"/>
      <c r="B499" s="55"/>
      <c r="C499" s="55"/>
      <c r="D499" s="57" t="str">
        <f>IF(K499="","",VLOOKUP(F499,Tabelle1!$A$2:$C$496,3,0))</f>
        <v/>
      </c>
      <c r="E499" s="57" t="str">
        <f>IF(K499="","",VLOOKUP(F499,Tabelle1!$A$2:$M$496,13,0))</f>
        <v/>
      </c>
      <c r="F499" s="56"/>
      <c r="G499" s="57"/>
      <c r="H499" s="57"/>
      <c r="I499" s="57"/>
      <c r="J499" s="57"/>
      <c r="K499" s="57" t="str">
        <f t="shared" si="24"/>
        <v/>
      </c>
      <c r="L499" s="57" t="str">
        <f>IF(K499="","",VLOOKUP(F499,Tabelle1!$A$2:$I$496,9,0))</f>
        <v/>
      </c>
      <c r="M499" s="57" t="str">
        <f>IF(K499="","",VLOOKUP(F499,Tabelle1!$A$2:$G$496,7,0))</f>
        <v/>
      </c>
      <c r="N499" s="66" t="str">
        <f t="shared" si="25"/>
        <v/>
      </c>
      <c r="O499" s="66" t="str">
        <f>IF(K499="","",((K499*VLOOKUP(F499,Tabelle1!$A$2:$I$496,8,0))/$W$4))</f>
        <v/>
      </c>
      <c r="P499" s="76" t="str">
        <f>IF(K499="","",VLOOKUP(F499,Tabelle1!$A$2:$L$496,12,0))</f>
        <v/>
      </c>
    </row>
    <row r="500" spans="1:16">
      <c r="A500" s="67"/>
      <c r="B500" s="55"/>
      <c r="C500" s="55"/>
      <c r="D500" s="57" t="str">
        <f>IF(K500="","",VLOOKUP(F500,Tabelle1!$A$2:$C$496,3,0))</f>
        <v/>
      </c>
      <c r="E500" s="57" t="str">
        <f>IF(K500="","",VLOOKUP(F500,Tabelle1!$A$2:$M$496,13,0))</f>
        <v/>
      </c>
      <c r="F500" s="56"/>
      <c r="G500" s="57"/>
      <c r="H500" s="57"/>
      <c r="I500" s="57"/>
      <c r="J500" s="57"/>
      <c r="K500" s="57" t="str">
        <f t="shared" si="24"/>
        <v/>
      </c>
      <c r="L500" s="57" t="str">
        <f>IF(K500="","",VLOOKUP(F500,Tabelle1!$A$2:$I$496,9,0))</f>
        <v/>
      </c>
      <c r="M500" s="57" t="str">
        <f>IF(K500="","",VLOOKUP(F500,Tabelle1!$A$2:$G$496,7,0))</f>
        <v/>
      </c>
      <c r="N500" s="66" t="str">
        <f t="shared" si="25"/>
        <v/>
      </c>
      <c r="O500" s="66" t="str">
        <f>IF(K500="","",((K500*VLOOKUP(F500,Tabelle1!$A$2:$I$496,8,0))/$W$4))</f>
        <v/>
      </c>
      <c r="P500" s="76" t="str">
        <f>IF(K500="","",VLOOKUP(F500,Tabelle1!$A$2:$L$496,12,0))</f>
        <v/>
      </c>
    </row>
    <row r="501" spans="1:16">
      <c r="A501" s="67"/>
      <c r="B501" s="55"/>
      <c r="C501" s="55"/>
      <c r="D501" s="57" t="str">
        <f>IF(K501="","",VLOOKUP(F501,Tabelle1!$A$2:$C$496,3,0))</f>
        <v/>
      </c>
      <c r="E501" s="57" t="str">
        <f>IF(K501="","",VLOOKUP(F501,Tabelle1!$A$2:$M$496,13,0))</f>
        <v/>
      </c>
      <c r="F501" s="56"/>
      <c r="G501" s="57"/>
      <c r="H501" s="57"/>
      <c r="I501" s="57"/>
      <c r="J501" s="57"/>
      <c r="K501" s="57" t="str">
        <f t="shared" si="24"/>
        <v/>
      </c>
      <c r="L501" s="57" t="str">
        <f>IF(K501="","",VLOOKUP(F501,Tabelle1!$A$2:$I$496,9,0))</f>
        <v/>
      </c>
      <c r="M501" s="57" t="str">
        <f>IF(K501="","",VLOOKUP(F501,Tabelle1!$A$2:$G$496,7,0))</f>
        <v/>
      </c>
      <c r="N501" s="66" t="str">
        <f t="shared" si="25"/>
        <v/>
      </c>
      <c r="O501" s="66" t="str">
        <f>IF(K501="","",((K501*VLOOKUP(F501,Tabelle1!$A$2:$I$496,8,0))/$W$4))</f>
        <v/>
      </c>
      <c r="P501" s="76" t="str">
        <f>IF(K501="","",VLOOKUP(F501,Tabelle1!$A$2:$L$496,12,0))</f>
        <v/>
      </c>
    </row>
    <row r="502" spans="1:16">
      <c r="A502" s="67"/>
      <c r="B502" s="55"/>
      <c r="C502" s="55"/>
      <c r="D502" s="57" t="str">
        <f>IF(K502="","",VLOOKUP(F502,Tabelle1!$A$2:$C$496,3,0))</f>
        <v/>
      </c>
      <c r="E502" s="57" t="str">
        <f>IF(K502="","",VLOOKUP(F502,Tabelle1!$A$2:$M$496,13,0))</f>
        <v/>
      </c>
      <c r="F502" s="56"/>
      <c r="G502" s="57"/>
      <c r="H502" s="57"/>
      <c r="I502" s="57"/>
      <c r="J502" s="57"/>
      <c r="K502" s="57" t="str">
        <f t="shared" si="24"/>
        <v/>
      </c>
      <c r="L502" s="57" t="str">
        <f>IF(K502="","",VLOOKUP(F502,Tabelle1!$A$2:$I$496,9,0))</f>
        <v/>
      </c>
      <c r="M502" s="57" t="str">
        <f>IF(K502="","",VLOOKUP(F502,Tabelle1!$A$2:$G$496,7,0))</f>
        <v/>
      </c>
      <c r="N502" s="66" t="str">
        <f t="shared" si="25"/>
        <v/>
      </c>
      <c r="O502" s="66" t="str">
        <f>IF(K502="","",((K502*VLOOKUP(F502,Tabelle1!$A$2:$I$496,8,0))/$W$4))</f>
        <v/>
      </c>
      <c r="P502" s="76" t="str">
        <f>IF(K502="","",VLOOKUP(F502,Tabelle1!$A$2:$L$496,12,0))</f>
        <v/>
      </c>
    </row>
    <row r="503" spans="1:16">
      <c r="A503" s="67"/>
      <c r="B503" s="55"/>
      <c r="C503" s="55"/>
      <c r="D503" s="57" t="str">
        <f>IF(K503="","",VLOOKUP(F503,Tabelle1!$A$2:$C$496,3,0))</f>
        <v/>
      </c>
      <c r="E503" s="57" t="str">
        <f>IF(K503="","",VLOOKUP(F503,Tabelle1!$A$2:$M$496,13,0))</f>
        <v/>
      </c>
      <c r="F503" s="56"/>
      <c r="G503" s="57"/>
      <c r="H503" s="57"/>
      <c r="I503" s="57"/>
      <c r="J503" s="57"/>
      <c r="K503" s="57" t="str">
        <f t="shared" si="24"/>
        <v/>
      </c>
      <c r="L503" s="57" t="str">
        <f>IF(K503="","",VLOOKUP(F503,Tabelle1!$A$2:$I$496,9,0))</f>
        <v/>
      </c>
      <c r="M503" s="57" t="str">
        <f>IF(K503="","",VLOOKUP(F503,Tabelle1!$A$2:$G$496,7,0))</f>
        <v/>
      </c>
      <c r="N503" s="66" t="str">
        <f t="shared" si="25"/>
        <v/>
      </c>
      <c r="O503" s="66" t="str">
        <f>IF(K503="","",((K503*VLOOKUP(F503,Tabelle1!$A$2:$I$496,8,0))/$W$4))</f>
        <v/>
      </c>
      <c r="P503" s="76" t="str">
        <f>IF(K503="","",VLOOKUP(F503,Tabelle1!$A$2:$L$496,12,0))</f>
        <v/>
      </c>
    </row>
    <row r="504" spans="1:16">
      <c r="A504" s="67"/>
      <c r="B504" s="55"/>
      <c r="C504" s="55"/>
      <c r="D504" s="57" t="str">
        <f>IF(K504="","",VLOOKUP(F504,Tabelle1!$A$2:$C$496,3,0))</f>
        <v/>
      </c>
      <c r="E504" s="57" t="str">
        <f>IF(K504="","",VLOOKUP(F504,Tabelle1!$A$2:$M$496,13,0))</f>
        <v/>
      </c>
      <c r="F504" s="56"/>
      <c r="G504" s="57"/>
      <c r="H504" s="57"/>
      <c r="I504" s="57"/>
      <c r="J504" s="57"/>
      <c r="K504" s="57" t="str">
        <f t="shared" si="24"/>
        <v/>
      </c>
      <c r="L504" s="57" t="str">
        <f>IF(K504="","",VLOOKUP(F504,Tabelle1!$A$2:$I$496,9,0))</f>
        <v/>
      </c>
      <c r="M504" s="57" t="str">
        <f>IF(K504="","",VLOOKUP(F504,Tabelle1!$A$2:$G$496,7,0))</f>
        <v/>
      </c>
      <c r="N504" s="66" t="str">
        <f t="shared" si="25"/>
        <v/>
      </c>
      <c r="O504" s="66" t="str">
        <f>IF(K504="","",((K504*VLOOKUP(F504,Tabelle1!$A$2:$I$496,8,0))/$W$4))</f>
        <v/>
      </c>
      <c r="P504" s="76" t="str">
        <f>IF(K504="","",VLOOKUP(F504,Tabelle1!$A$2:$L$496,12,0))</f>
        <v/>
      </c>
    </row>
    <row r="505" spans="1:16">
      <c r="A505" s="67"/>
      <c r="B505" s="55"/>
      <c r="C505" s="55"/>
      <c r="D505" s="57" t="str">
        <f>IF(K505="","",VLOOKUP(F505,Tabelle1!$A$2:$C$496,3,0))</f>
        <v/>
      </c>
      <c r="E505" s="57" t="str">
        <f>IF(K505="","",VLOOKUP(F505,Tabelle1!$A$2:$M$496,13,0))</f>
        <v/>
      </c>
      <c r="F505" s="56"/>
      <c r="G505" s="57"/>
      <c r="H505" s="57"/>
      <c r="I505" s="57"/>
      <c r="J505" s="57"/>
      <c r="K505" s="57" t="str">
        <f t="shared" si="24"/>
        <v/>
      </c>
      <c r="L505" s="57" t="str">
        <f>IF(K505="","",VLOOKUP(F505,Tabelle1!$A$2:$I$496,9,0))</f>
        <v/>
      </c>
      <c r="M505" s="57" t="str">
        <f>IF(K505="","",VLOOKUP(F505,Tabelle1!$A$2:$G$496,7,0))</f>
        <v/>
      </c>
      <c r="N505" s="66" t="str">
        <f t="shared" si="25"/>
        <v/>
      </c>
      <c r="O505" s="66" t="str">
        <f>IF(K505="","",((K505*VLOOKUP(F505,Tabelle1!$A$2:$I$496,8,0))/$W$4))</f>
        <v/>
      </c>
      <c r="P505" s="76" t="str">
        <f>IF(K505="","",VLOOKUP(F505,Tabelle1!$A$2:$L$496,12,0))</f>
        <v/>
      </c>
    </row>
    <row r="506" spans="1:16">
      <c r="A506" s="67"/>
      <c r="B506" s="55"/>
      <c r="C506" s="55"/>
      <c r="D506" s="57" t="str">
        <f>IF(K506="","",VLOOKUP(F506,Tabelle1!$A$2:$C$496,3,0))</f>
        <v/>
      </c>
      <c r="E506" s="57" t="str">
        <f>IF(K506="","",VLOOKUP(F506,Tabelle1!$A$2:$M$496,13,0))</f>
        <v/>
      </c>
      <c r="F506" s="56"/>
      <c r="G506" s="57"/>
      <c r="H506" s="57"/>
      <c r="I506" s="57"/>
      <c r="J506" s="57"/>
      <c r="K506" s="57" t="str">
        <f t="shared" si="24"/>
        <v/>
      </c>
      <c r="L506" s="57" t="str">
        <f>IF(K506="","",VLOOKUP(F506,Tabelle1!$A$2:$I$496,9,0))</f>
        <v/>
      </c>
      <c r="M506" s="57" t="str">
        <f>IF(K506="","",VLOOKUP(F506,Tabelle1!$A$2:$G$496,7,0))</f>
        <v/>
      </c>
      <c r="N506" s="66" t="str">
        <f t="shared" si="25"/>
        <v/>
      </c>
      <c r="O506" s="66" t="str">
        <f>IF(K506="","",((K506*VLOOKUP(F506,Tabelle1!$A$2:$I$496,8,0))/$W$4))</f>
        <v/>
      </c>
      <c r="P506" s="76" t="str">
        <f>IF(K506="","",VLOOKUP(F506,Tabelle1!$A$2:$L$496,12,0))</f>
        <v/>
      </c>
    </row>
    <row r="507" spans="1:16">
      <c r="A507" s="67"/>
      <c r="B507" s="55"/>
      <c r="C507" s="55"/>
      <c r="D507" s="57" t="str">
        <f>IF(K507="","",VLOOKUP(F507,Tabelle1!$A$2:$C$496,3,0))</f>
        <v/>
      </c>
      <c r="E507" s="57" t="str">
        <f>IF(K507="","",VLOOKUP(F507,Tabelle1!$A$2:$M$496,13,0))</f>
        <v/>
      </c>
      <c r="F507" s="56"/>
      <c r="G507" s="57"/>
      <c r="H507" s="57"/>
      <c r="I507" s="57"/>
      <c r="J507" s="57"/>
      <c r="K507" s="57" t="str">
        <f t="shared" si="24"/>
        <v/>
      </c>
      <c r="L507" s="57" t="str">
        <f>IF(K507="","",VLOOKUP(F507,Tabelle1!$A$2:$I$496,9,0))</f>
        <v/>
      </c>
      <c r="M507" s="57" t="str">
        <f>IF(K507="","",VLOOKUP(F507,Tabelle1!$A$2:$G$496,7,0))</f>
        <v/>
      </c>
      <c r="N507" s="66" t="str">
        <f t="shared" si="25"/>
        <v/>
      </c>
      <c r="O507" s="66" t="str">
        <f>IF(K507="","",((K507*VLOOKUP(F507,Tabelle1!$A$2:$I$496,8,0))/$W$4))</f>
        <v/>
      </c>
      <c r="P507" s="76" t="str">
        <f>IF(K507="","",VLOOKUP(F507,Tabelle1!$A$2:$L$496,12,0))</f>
        <v/>
      </c>
    </row>
    <row r="508" spans="1:16">
      <c r="A508" s="67"/>
      <c r="B508" s="55"/>
      <c r="C508" s="55"/>
      <c r="D508" s="57" t="str">
        <f>IF(K508="","",VLOOKUP(F508,Tabelle1!$A$2:$C$496,3,0))</f>
        <v/>
      </c>
      <c r="E508" s="57" t="str">
        <f>IF(K508="","",VLOOKUP(F508,Tabelle1!$A$2:$M$496,13,0))</f>
        <v/>
      </c>
      <c r="F508" s="56"/>
      <c r="G508" s="57"/>
      <c r="H508" s="57"/>
      <c r="I508" s="57"/>
      <c r="J508" s="57"/>
      <c r="K508" s="57" t="str">
        <f t="shared" si="24"/>
        <v/>
      </c>
      <c r="L508" s="57" t="str">
        <f>IF(K508="","",VLOOKUP(F508,Tabelle1!$A$2:$I$496,9,0))</f>
        <v/>
      </c>
      <c r="M508" s="57" t="str">
        <f>IF(K508="","",VLOOKUP(F508,Tabelle1!$A$2:$G$496,7,0))</f>
        <v/>
      </c>
      <c r="N508" s="66" t="str">
        <f t="shared" si="25"/>
        <v/>
      </c>
      <c r="O508" s="66" t="str">
        <f>IF(K508="","",((K508*VLOOKUP(F508,Tabelle1!$A$2:$I$496,8,0))/$W$4))</f>
        <v/>
      </c>
      <c r="P508" s="76" t="str">
        <f>IF(K508="","",VLOOKUP(F508,Tabelle1!$A$2:$L$496,12,0))</f>
        <v/>
      </c>
    </row>
    <row r="509" spans="1:16">
      <c r="A509" s="67"/>
      <c r="B509" s="55"/>
      <c r="C509" s="55"/>
      <c r="D509" s="57" t="str">
        <f>IF(K509="","",VLOOKUP(F509,Tabelle1!$A$2:$C$496,3,0))</f>
        <v/>
      </c>
      <c r="E509" s="57" t="str">
        <f>IF(K509="","",VLOOKUP(F509,Tabelle1!$A$2:$M$496,13,0))</f>
        <v/>
      </c>
      <c r="F509" s="56"/>
      <c r="G509" s="57"/>
      <c r="H509" s="57"/>
      <c r="I509" s="57"/>
      <c r="J509" s="57"/>
      <c r="K509" s="57" t="str">
        <f t="shared" si="24"/>
        <v/>
      </c>
      <c r="L509" s="57" t="str">
        <f>IF(K509="","",VLOOKUP(F509,Tabelle1!$A$2:$I$496,9,0))</f>
        <v/>
      </c>
      <c r="M509" s="57" t="str">
        <f>IF(K509="","",VLOOKUP(F509,Tabelle1!$A$2:$G$496,7,0))</f>
        <v/>
      </c>
      <c r="N509" s="66" t="str">
        <f t="shared" si="25"/>
        <v/>
      </c>
      <c r="O509" s="66" t="str">
        <f>IF(K509="","",((K509*VLOOKUP(F509,Tabelle1!$A$2:$I$496,8,0))/$W$4))</f>
        <v/>
      </c>
      <c r="P509" s="76" t="str">
        <f>IF(K509="","",VLOOKUP(F509,Tabelle1!$A$2:$L$496,12,0))</f>
        <v/>
      </c>
    </row>
    <row r="510" spans="1:16">
      <c r="A510" s="67"/>
      <c r="B510" s="55"/>
      <c r="C510" s="55"/>
      <c r="D510" s="57" t="str">
        <f>IF(K510="","",VLOOKUP(F510,Tabelle1!$A$2:$C$496,3,0))</f>
        <v/>
      </c>
      <c r="E510" s="57" t="str">
        <f>IF(K510="","",VLOOKUP(F510,Tabelle1!$A$2:$M$496,13,0))</f>
        <v/>
      </c>
      <c r="F510" s="56"/>
      <c r="G510" s="57"/>
      <c r="H510" s="57"/>
      <c r="I510" s="57"/>
      <c r="J510" s="57"/>
      <c r="K510" s="57" t="str">
        <f t="shared" si="24"/>
        <v/>
      </c>
      <c r="L510" s="57" t="str">
        <f>IF(K510="","",VLOOKUP(F510,Tabelle1!$A$2:$I$496,9,0))</f>
        <v/>
      </c>
      <c r="M510" s="57" t="str">
        <f>IF(K510="","",VLOOKUP(F510,Tabelle1!$A$2:$G$496,7,0))</f>
        <v/>
      </c>
      <c r="N510" s="66" t="str">
        <f t="shared" si="25"/>
        <v/>
      </c>
      <c r="O510" s="66" t="str">
        <f>IF(K510="","",((K510*VLOOKUP(F510,Tabelle1!$A$2:$I$496,8,0))/$W$4))</f>
        <v/>
      </c>
      <c r="P510" s="76" t="str">
        <f>IF(K510="","",VLOOKUP(F510,Tabelle1!$A$2:$L$496,12,0))</f>
        <v/>
      </c>
    </row>
    <row r="511" spans="1:16">
      <c r="A511" s="67"/>
      <c r="B511" s="55"/>
      <c r="C511" s="55"/>
      <c r="D511" s="57" t="str">
        <f>IF(K511="","",VLOOKUP(F511,Tabelle1!$A$2:$C$496,3,0))</f>
        <v/>
      </c>
      <c r="E511" s="57" t="str">
        <f>IF(K511="","",VLOOKUP(F511,Tabelle1!$A$2:$M$496,13,0))</f>
        <v/>
      </c>
      <c r="F511" s="56"/>
      <c r="G511" s="57"/>
      <c r="H511" s="57"/>
      <c r="I511" s="57"/>
      <c r="J511" s="57"/>
      <c r="K511" s="57" t="str">
        <f t="shared" si="24"/>
        <v/>
      </c>
      <c r="L511" s="57" t="str">
        <f>IF(K511="","",VLOOKUP(F511,Tabelle1!$A$2:$I$496,9,0))</f>
        <v/>
      </c>
      <c r="M511" s="57" t="str">
        <f>IF(K511="","",VLOOKUP(F511,Tabelle1!$A$2:$G$496,7,0))</f>
        <v/>
      </c>
      <c r="N511" s="66" t="str">
        <f t="shared" si="25"/>
        <v/>
      </c>
      <c r="O511" s="66" t="str">
        <f>IF(K511="","",((K511*VLOOKUP(F511,Tabelle1!$A$2:$I$496,8,0))/$W$4))</f>
        <v/>
      </c>
      <c r="P511" s="76" t="str">
        <f>IF(K511="","",VLOOKUP(F511,Tabelle1!$A$2:$L$496,12,0))</f>
        <v/>
      </c>
    </row>
    <row r="512" spans="1:16">
      <c r="A512" s="67"/>
      <c r="B512" s="55"/>
      <c r="C512" s="55"/>
      <c r="D512" s="57" t="str">
        <f>IF(K512="","",VLOOKUP(F512,Tabelle1!$A$2:$C$496,3,0))</f>
        <v/>
      </c>
      <c r="E512" s="57" t="str">
        <f>IF(K512="","",VLOOKUP(F512,Tabelle1!$A$2:$M$496,13,0))</f>
        <v/>
      </c>
      <c r="F512" s="56"/>
      <c r="G512" s="57"/>
      <c r="H512" s="57"/>
      <c r="I512" s="57"/>
      <c r="J512" s="57"/>
      <c r="K512" s="57" t="str">
        <f t="shared" si="24"/>
        <v/>
      </c>
      <c r="L512" s="57" t="str">
        <f>IF(K512="","",VLOOKUP(F512,Tabelle1!$A$2:$I$496,9,0))</f>
        <v/>
      </c>
      <c r="M512" s="57" t="str">
        <f>IF(K512="","",VLOOKUP(F512,Tabelle1!$A$2:$G$496,7,0))</f>
        <v/>
      </c>
      <c r="N512" s="66" t="str">
        <f t="shared" si="25"/>
        <v/>
      </c>
      <c r="O512" s="66" t="str">
        <f>IF(K512="","",((K512*VLOOKUP(F512,Tabelle1!$A$2:$I$496,8,0))/$W$4))</f>
        <v/>
      </c>
      <c r="P512" s="76" t="str">
        <f>IF(K512="","",VLOOKUP(F512,Tabelle1!$A$2:$L$496,12,0))</f>
        <v/>
      </c>
    </row>
    <row r="513" spans="1:16">
      <c r="A513" s="67"/>
      <c r="B513" s="55"/>
      <c r="C513" s="55"/>
      <c r="D513" s="57" t="str">
        <f>IF(K513="","",VLOOKUP(F513,Tabelle1!$A$2:$C$496,3,0))</f>
        <v/>
      </c>
      <c r="E513" s="57" t="str">
        <f>IF(K513="","",VLOOKUP(F513,Tabelle1!$A$2:$M$496,13,0))</f>
        <v/>
      </c>
      <c r="F513" s="56"/>
      <c r="G513" s="57"/>
      <c r="H513" s="57"/>
      <c r="I513" s="57"/>
      <c r="J513" s="57"/>
      <c r="K513" s="57" t="str">
        <f t="shared" si="24"/>
        <v/>
      </c>
      <c r="L513" s="57" t="str">
        <f>IF(K513="","",VLOOKUP(F513,Tabelle1!$A$2:$I$496,9,0))</f>
        <v/>
      </c>
      <c r="M513" s="57" t="str">
        <f>IF(K513="","",VLOOKUP(F513,Tabelle1!$A$2:$G$496,7,0))</f>
        <v/>
      </c>
      <c r="N513" s="66" t="str">
        <f t="shared" si="25"/>
        <v/>
      </c>
      <c r="O513" s="66" t="str">
        <f>IF(K513="","",((K513*VLOOKUP(F513,Tabelle1!$A$2:$I$496,8,0))/$W$4))</f>
        <v/>
      </c>
      <c r="P513" s="76" t="str">
        <f>IF(K513="","",VLOOKUP(F513,Tabelle1!$A$2:$L$496,12,0))</f>
        <v/>
      </c>
    </row>
    <row r="514" spans="1:16">
      <c r="A514" s="67"/>
      <c r="B514" s="55"/>
      <c r="C514" s="55"/>
      <c r="D514" s="57" t="str">
        <f>IF(K514="","",VLOOKUP(F514,Tabelle1!$A$2:$C$496,3,0))</f>
        <v/>
      </c>
      <c r="E514" s="57" t="str">
        <f>IF(K514="","",VLOOKUP(F514,Tabelle1!$A$2:$M$496,13,0))</f>
        <v/>
      </c>
      <c r="F514" s="56"/>
      <c r="G514" s="57"/>
      <c r="H514" s="57"/>
      <c r="I514" s="57"/>
      <c r="J514" s="57"/>
      <c r="K514" s="57" t="str">
        <f t="shared" si="24"/>
        <v/>
      </c>
      <c r="L514" s="57" t="str">
        <f>IF(K514="","",VLOOKUP(F514,Tabelle1!$A$2:$I$496,9,0))</f>
        <v/>
      </c>
      <c r="M514" s="57" t="str">
        <f>IF(K514="","",VLOOKUP(F514,Tabelle1!$A$2:$G$496,7,0))</f>
        <v/>
      </c>
      <c r="N514" s="66" t="str">
        <f t="shared" si="25"/>
        <v/>
      </c>
      <c r="O514" s="66" t="str">
        <f>IF(K514="","",((K514*VLOOKUP(F514,Tabelle1!$A$2:$I$496,8,0))/$W$4))</f>
        <v/>
      </c>
      <c r="P514" s="76" t="str">
        <f>IF(K514="","",VLOOKUP(F514,Tabelle1!$A$2:$L$496,12,0))</f>
        <v/>
      </c>
    </row>
    <row r="515" spans="1:16">
      <c r="A515" s="67"/>
      <c r="B515" s="55"/>
      <c r="C515" s="55"/>
      <c r="D515" s="57" t="str">
        <f>IF(K515="","",VLOOKUP(F515,Tabelle1!$A$2:$C$496,3,0))</f>
        <v/>
      </c>
      <c r="E515" s="57" t="str">
        <f>IF(K515="","",VLOOKUP(F515,Tabelle1!$A$2:$M$496,13,0))</f>
        <v/>
      </c>
      <c r="F515" s="56"/>
      <c r="G515" s="57"/>
      <c r="H515" s="57"/>
      <c r="I515" s="57"/>
      <c r="J515" s="57"/>
      <c r="K515" s="57" t="str">
        <f t="shared" si="24"/>
        <v/>
      </c>
      <c r="L515" s="57" t="str">
        <f>IF(K515="","",VLOOKUP(F515,Tabelle1!$A$2:$I$496,9,0))</f>
        <v/>
      </c>
      <c r="M515" s="57" t="str">
        <f>IF(K515="","",VLOOKUP(F515,Tabelle1!$A$2:$G$496,7,0))</f>
        <v/>
      </c>
      <c r="N515" s="66" t="str">
        <f t="shared" si="25"/>
        <v/>
      </c>
      <c r="O515" s="66" t="str">
        <f>IF(K515="","",((K515*VLOOKUP(F515,Tabelle1!$A$2:$I$496,8,0))/$W$4))</f>
        <v/>
      </c>
      <c r="P515" s="76" t="str">
        <f>IF(K515="","",VLOOKUP(F515,Tabelle1!$A$2:$L$496,12,0))</f>
        <v/>
      </c>
    </row>
    <row r="516" spans="1:16">
      <c r="A516" s="67"/>
      <c r="B516" s="55"/>
      <c r="C516" s="55"/>
      <c r="D516" s="57" t="str">
        <f>IF(K516="","",VLOOKUP(F516,Tabelle1!$A$2:$C$496,3,0))</f>
        <v/>
      </c>
      <c r="E516" s="57" t="str">
        <f>IF(K516="","",VLOOKUP(F516,Tabelle1!$A$2:$M$496,13,0))</f>
        <v/>
      </c>
      <c r="F516" s="56"/>
      <c r="G516" s="57"/>
      <c r="H516" s="57"/>
      <c r="I516" s="57"/>
      <c r="J516" s="57"/>
      <c r="K516" s="57" t="str">
        <f t="shared" si="24"/>
        <v/>
      </c>
      <c r="L516" s="57" t="str">
        <f>IF(K516="","",VLOOKUP(F516,Tabelle1!$A$2:$I$496,9,0))</f>
        <v/>
      </c>
      <c r="M516" s="57" t="str">
        <f>IF(K516="","",VLOOKUP(F516,Tabelle1!$A$2:$G$496,7,0))</f>
        <v/>
      </c>
      <c r="N516" s="66" t="str">
        <f t="shared" si="25"/>
        <v/>
      </c>
      <c r="O516" s="66" t="str">
        <f>IF(K516="","",((K516*VLOOKUP(F516,Tabelle1!$A$2:$I$496,8,0))/$W$4))</f>
        <v/>
      </c>
      <c r="P516" s="76" t="str">
        <f>IF(K516="","",VLOOKUP(F516,Tabelle1!$A$2:$L$496,12,0))</f>
        <v/>
      </c>
    </row>
    <row r="517" spans="1:16">
      <c r="A517" s="67"/>
      <c r="B517" s="55"/>
      <c r="C517" s="55"/>
      <c r="D517" s="57" t="str">
        <f>IF(K517="","",VLOOKUP(F517,Tabelle1!$A$2:$C$496,3,0))</f>
        <v/>
      </c>
      <c r="E517" s="57" t="str">
        <f>IF(K517="","",VLOOKUP(F517,Tabelle1!$A$2:$M$496,13,0))</f>
        <v/>
      </c>
      <c r="F517" s="56"/>
      <c r="G517" s="57"/>
      <c r="H517" s="57"/>
      <c r="I517" s="57"/>
      <c r="J517" s="57"/>
      <c r="K517" s="57" t="str">
        <f t="shared" si="24"/>
        <v/>
      </c>
      <c r="L517" s="57" t="str">
        <f>IF(K517="","",VLOOKUP(F517,Tabelle1!$A$2:$I$496,9,0))</f>
        <v/>
      </c>
      <c r="M517" s="57" t="str">
        <f>IF(K517="","",VLOOKUP(F517,Tabelle1!$A$2:$G$496,7,0))</f>
        <v/>
      </c>
      <c r="N517" s="66" t="str">
        <f t="shared" si="25"/>
        <v/>
      </c>
      <c r="O517" s="66" t="str">
        <f>IF(K517="","",((K517*VLOOKUP(F517,Tabelle1!$A$2:$I$496,8,0))/$W$4))</f>
        <v/>
      </c>
      <c r="P517" s="76" t="str">
        <f>IF(K517="","",VLOOKUP(F517,Tabelle1!$A$2:$L$496,12,0))</f>
        <v/>
      </c>
    </row>
    <row r="518" spans="1:16">
      <c r="A518" s="67"/>
      <c r="B518" s="55"/>
      <c r="C518" s="55"/>
      <c r="D518" s="57" t="str">
        <f>IF(K518="","",VLOOKUP(F518,Tabelle1!$A$2:$C$496,3,0))</f>
        <v/>
      </c>
      <c r="E518" s="57" t="str">
        <f>IF(K518="","",VLOOKUP(F518,Tabelle1!$A$2:$M$496,13,0))</f>
        <v/>
      </c>
      <c r="F518" s="56"/>
      <c r="G518" s="57"/>
      <c r="H518" s="57"/>
      <c r="I518" s="57"/>
      <c r="J518" s="57"/>
      <c r="K518" s="57" t="str">
        <f t="shared" si="24"/>
        <v/>
      </c>
      <c r="L518" s="57" t="str">
        <f>IF(K518="","",VLOOKUP(F518,Tabelle1!$A$2:$I$496,9,0))</f>
        <v/>
      </c>
      <c r="M518" s="57" t="str">
        <f>IF(K518="","",VLOOKUP(F518,Tabelle1!$A$2:$G$496,7,0))</f>
        <v/>
      </c>
      <c r="N518" s="66" t="str">
        <f t="shared" si="25"/>
        <v/>
      </c>
      <c r="O518" s="66" t="str">
        <f>IF(K518="","",((K518*VLOOKUP(F518,Tabelle1!$A$2:$I$496,8,0))/$W$4))</f>
        <v/>
      </c>
      <c r="P518" s="76" t="str">
        <f>IF(K518="","",VLOOKUP(F518,Tabelle1!$A$2:$L$496,12,0))</f>
        <v/>
      </c>
    </row>
    <row r="519" spans="1:16">
      <c r="A519" s="67"/>
      <c r="B519" s="55"/>
      <c r="C519" s="55"/>
      <c r="D519" s="57" t="str">
        <f>IF(K519="","",VLOOKUP(F519,Tabelle1!$A$2:$C$496,3,0))</f>
        <v/>
      </c>
      <c r="E519" s="57" t="str">
        <f>IF(K519="","",VLOOKUP(F519,Tabelle1!$A$2:$M$496,13,0))</f>
        <v/>
      </c>
      <c r="F519" s="56"/>
      <c r="G519" s="57"/>
      <c r="H519" s="57"/>
      <c r="I519" s="57"/>
      <c r="J519" s="57"/>
      <c r="K519" s="57" t="str">
        <f t="shared" si="24"/>
        <v/>
      </c>
      <c r="L519" s="57" t="str">
        <f>IF(K519="","",VLOOKUP(F519,Tabelle1!$A$2:$I$496,9,0))</f>
        <v/>
      </c>
      <c r="M519" s="57" t="str">
        <f>IF(K519="","",VLOOKUP(F519,Tabelle1!$A$2:$G$496,7,0))</f>
        <v/>
      </c>
      <c r="N519" s="66" t="str">
        <f t="shared" si="25"/>
        <v/>
      </c>
      <c r="O519" s="66" t="str">
        <f>IF(K519="","",((K519*VLOOKUP(F519,Tabelle1!$A$2:$I$496,8,0))/$W$4))</f>
        <v/>
      </c>
      <c r="P519" s="76" t="str">
        <f>IF(K519="","",VLOOKUP(F519,Tabelle1!$A$2:$L$496,12,0))</f>
        <v/>
      </c>
    </row>
    <row r="520" spans="1:16">
      <c r="A520" s="67"/>
      <c r="B520" s="55"/>
      <c r="C520" s="55"/>
      <c r="D520" s="57" t="str">
        <f>IF(K520="","",VLOOKUP(F520,Tabelle1!$A$2:$C$496,3,0))</f>
        <v/>
      </c>
      <c r="E520" s="57" t="str">
        <f>IF(K520="","",VLOOKUP(F520,Tabelle1!$A$2:$M$496,13,0))</f>
        <v/>
      </c>
      <c r="F520" s="56"/>
      <c r="G520" s="57"/>
      <c r="H520" s="57"/>
      <c r="I520" s="57"/>
      <c r="J520" s="57"/>
      <c r="K520" s="57" t="str">
        <f t="shared" si="24"/>
        <v/>
      </c>
      <c r="L520" s="57" t="str">
        <f>IF(K520="","",VLOOKUP(F520,Tabelle1!$A$2:$I$496,9,0))</f>
        <v/>
      </c>
      <c r="M520" s="57" t="str">
        <f>IF(K520="","",VLOOKUP(F520,Tabelle1!$A$2:$G$496,7,0))</f>
        <v/>
      </c>
      <c r="N520" s="66" t="str">
        <f t="shared" si="25"/>
        <v/>
      </c>
      <c r="O520" s="66" t="str">
        <f>IF(K520="","",((K520*VLOOKUP(F520,Tabelle1!$A$2:$I$496,8,0))/$W$4))</f>
        <v/>
      </c>
      <c r="P520" s="76" t="str">
        <f>IF(K520="","",VLOOKUP(F520,Tabelle1!$A$2:$L$496,12,0))</f>
        <v/>
      </c>
    </row>
    <row r="521" spans="1:16">
      <c r="A521" s="67"/>
      <c r="B521" s="55"/>
      <c r="C521" s="55"/>
      <c r="D521" s="57" t="str">
        <f>IF(K521="","",VLOOKUP(F521,Tabelle1!$A$2:$C$496,3,0))</f>
        <v/>
      </c>
      <c r="E521" s="57" t="str">
        <f>IF(K521="","",VLOOKUP(F521,Tabelle1!$A$2:$M$496,13,0))</f>
        <v/>
      </c>
      <c r="F521" s="56"/>
      <c r="G521" s="57"/>
      <c r="H521" s="57"/>
      <c r="I521" s="57"/>
      <c r="J521" s="57"/>
      <c r="K521" s="57" t="str">
        <f t="shared" si="24"/>
        <v/>
      </c>
      <c r="L521" s="57" t="str">
        <f>IF(K521="","",VLOOKUP(F521,Tabelle1!$A$2:$I$496,9,0))</f>
        <v/>
      </c>
      <c r="M521" s="57" t="str">
        <f>IF(K521="","",VLOOKUP(F521,Tabelle1!$A$2:$G$496,7,0))</f>
        <v/>
      </c>
      <c r="N521" s="66" t="str">
        <f t="shared" si="25"/>
        <v/>
      </c>
      <c r="O521" s="66" t="str">
        <f>IF(K521="","",((K521*VLOOKUP(F521,Tabelle1!$A$2:$I$496,8,0))/$W$4))</f>
        <v/>
      </c>
      <c r="P521" s="76" t="str">
        <f>IF(K521="","",VLOOKUP(F521,Tabelle1!$A$2:$L$496,12,0))</f>
        <v/>
      </c>
    </row>
    <row r="522" spans="1:16">
      <c r="A522" s="67"/>
      <c r="B522" s="55"/>
      <c r="C522" s="55"/>
      <c r="D522" s="57" t="str">
        <f>IF(K522="","",VLOOKUP(F522,Tabelle1!$A$2:$C$496,3,0))</f>
        <v/>
      </c>
      <c r="E522" s="57" t="str">
        <f>IF(K522="","",VLOOKUP(F522,Tabelle1!$A$2:$M$496,13,0))</f>
        <v/>
      </c>
      <c r="F522" s="56"/>
      <c r="G522" s="57"/>
      <c r="H522" s="57"/>
      <c r="I522" s="57"/>
      <c r="J522" s="57"/>
      <c r="K522" s="57" t="str">
        <f t="shared" si="24"/>
        <v/>
      </c>
      <c r="L522" s="57" t="str">
        <f>IF(K522="","",VLOOKUP(F522,Tabelle1!$A$2:$I$496,9,0))</f>
        <v/>
      </c>
      <c r="M522" s="57" t="str">
        <f>IF(K522="","",VLOOKUP(F522,Tabelle1!$A$2:$G$496,7,0))</f>
        <v/>
      </c>
      <c r="N522" s="66" t="str">
        <f t="shared" si="25"/>
        <v/>
      </c>
      <c r="O522" s="66" t="str">
        <f>IF(K522="","",((K522*VLOOKUP(F522,Tabelle1!$A$2:$I$496,8,0))/$W$4))</f>
        <v/>
      </c>
      <c r="P522" s="76" t="str">
        <f>IF(K522="","",VLOOKUP(F522,Tabelle1!$A$2:$L$496,12,0))</f>
        <v/>
      </c>
    </row>
    <row r="523" spans="1:16">
      <c r="A523" s="67"/>
      <c r="B523" s="55"/>
      <c r="C523" s="55"/>
      <c r="D523" s="57" t="str">
        <f>IF(K523="","",VLOOKUP(F523,Tabelle1!$A$2:$C$496,3,0))</f>
        <v/>
      </c>
      <c r="E523" s="57" t="str">
        <f>IF(K523="","",VLOOKUP(F523,Tabelle1!$A$2:$M$496,13,0))</f>
        <v/>
      </c>
      <c r="F523" s="56"/>
      <c r="G523" s="57"/>
      <c r="H523" s="57"/>
      <c r="I523" s="57"/>
      <c r="J523" s="57"/>
      <c r="K523" s="57" t="str">
        <f t="shared" ref="K523:K529" si="26">IF(F523="","",C523*G523*H523)</f>
        <v/>
      </c>
      <c r="L523" s="57" t="str">
        <f>IF(K523="","",VLOOKUP(F523,Tabelle1!$A$2:$I$496,9,0))</f>
        <v/>
      </c>
      <c r="M523" s="57" t="str">
        <f>IF(K523="","",VLOOKUP(F523,Tabelle1!$A$2:$G$496,7,0))</f>
        <v/>
      </c>
      <c r="N523" s="66" t="str">
        <f t="shared" ref="N523:N529" si="27">IF(M523&gt;0,O523,"")</f>
        <v/>
      </c>
      <c r="O523" s="66" t="str">
        <f>IF(K523="","",((K523*VLOOKUP(F523,Tabelle1!$A$2:$I$496,8,0))/$W$4))</f>
        <v/>
      </c>
      <c r="P523" s="76" t="str">
        <f>IF(K523="","",VLOOKUP(F523,Tabelle1!$A$2:$L$496,12,0))</f>
        <v/>
      </c>
    </row>
    <row r="524" spans="1:16">
      <c r="A524" s="67"/>
      <c r="B524" s="55"/>
      <c r="C524" s="55"/>
      <c r="D524" s="57" t="str">
        <f>IF(K524="","",VLOOKUP(F524,Tabelle1!$A$2:$C$496,3,0))</f>
        <v/>
      </c>
      <c r="E524" s="57" t="str">
        <f>IF(K524="","",VLOOKUP(F524,Tabelle1!$A$2:$M$496,13,0))</f>
        <v/>
      </c>
      <c r="F524" s="56"/>
      <c r="G524" s="57"/>
      <c r="H524" s="57"/>
      <c r="I524" s="57"/>
      <c r="J524" s="57"/>
      <c r="K524" s="57" t="str">
        <f t="shared" si="26"/>
        <v/>
      </c>
      <c r="L524" s="57" t="str">
        <f>IF(K524="","",VLOOKUP(F524,Tabelle1!$A$2:$I$496,9,0))</f>
        <v/>
      </c>
      <c r="M524" s="57" t="str">
        <f>IF(K524="","",VLOOKUP(F524,Tabelle1!$A$2:$G$496,7,0))</f>
        <v/>
      </c>
      <c r="N524" s="66" t="str">
        <f t="shared" si="27"/>
        <v/>
      </c>
      <c r="O524" s="66" t="str">
        <f>IF(K524="","",((K524*VLOOKUP(F524,Tabelle1!$A$2:$I$496,8,0))/$W$4))</f>
        <v/>
      </c>
      <c r="P524" s="76" t="str">
        <f>IF(K524="","",VLOOKUP(F524,Tabelle1!$A$2:$L$496,12,0))</f>
        <v/>
      </c>
    </row>
    <row r="525" spans="1:16">
      <c r="A525" s="67"/>
      <c r="B525" s="55"/>
      <c r="C525" s="55"/>
      <c r="D525" s="57" t="str">
        <f>IF(K525="","",VLOOKUP(F525,Tabelle1!$A$2:$C$496,3,0))</f>
        <v/>
      </c>
      <c r="E525" s="57" t="str">
        <f>IF(K525="","",VLOOKUP(F525,Tabelle1!$A$2:$M$496,13,0))</f>
        <v/>
      </c>
      <c r="F525" s="56"/>
      <c r="G525" s="57"/>
      <c r="H525" s="57"/>
      <c r="I525" s="57"/>
      <c r="J525" s="57"/>
      <c r="K525" s="57" t="str">
        <f t="shared" si="26"/>
        <v/>
      </c>
      <c r="L525" s="57" t="str">
        <f>IF(K525="","",VLOOKUP(F525,Tabelle1!$A$2:$I$496,9,0))</f>
        <v/>
      </c>
      <c r="M525" s="57" t="str">
        <f>IF(K525="","",VLOOKUP(F525,Tabelle1!$A$2:$G$496,7,0))</f>
        <v/>
      </c>
      <c r="N525" s="66" t="str">
        <f t="shared" si="27"/>
        <v/>
      </c>
      <c r="O525" s="66" t="str">
        <f>IF(K525="","",((K525*VLOOKUP(F525,Tabelle1!$A$2:$I$496,8,0))/$W$4))</f>
        <v/>
      </c>
      <c r="P525" s="76" t="str">
        <f>IF(K525="","",VLOOKUP(F525,Tabelle1!$A$2:$L$496,12,0))</f>
        <v/>
      </c>
    </row>
    <row r="526" spans="1:16">
      <c r="A526" s="67"/>
      <c r="B526" s="55"/>
      <c r="C526" s="55"/>
      <c r="D526" s="57" t="str">
        <f>IF(K526="","",VLOOKUP(F526,Tabelle1!$A$2:$C$496,3,0))</f>
        <v/>
      </c>
      <c r="E526" s="57" t="str">
        <f>IF(K526="","",VLOOKUP(F526,Tabelle1!$A$2:$M$496,13,0))</f>
        <v/>
      </c>
      <c r="F526" s="56"/>
      <c r="G526" s="57"/>
      <c r="H526" s="57"/>
      <c r="I526" s="57"/>
      <c r="J526" s="57"/>
      <c r="K526" s="57" t="str">
        <f t="shared" si="26"/>
        <v/>
      </c>
      <c r="L526" s="57" t="str">
        <f>IF(K526="","",VLOOKUP(F526,Tabelle1!$A$2:$I$496,9,0))</f>
        <v/>
      </c>
      <c r="M526" s="57" t="str">
        <f>IF(K526="","",VLOOKUP(F526,Tabelle1!$A$2:$G$496,7,0))</f>
        <v/>
      </c>
      <c r="N526" s="66" t="str">
        <f t="shared" si="27"/>
        <v/>
      </c>
      <c r="O526" s="66" t="str">
        <f>IF(K526="","",((K526*VLOOKUP(F526,Tabelle1!$A$2:$I$496,8,0))/$W$4))</f>
        <v/>
      </c>
      <c r="P526" s="76" t="str">
        <f>IF(K526="","",VLOOKUP(F526,Tabelle1!$A$2:$L$496,12,0))</f>
        <v/>
      </c>
    </row>
    <row r="527" spans="1:16">
      <c r="A527" s="67"/>
      <c r="B527" s="55"/>
      <c r="C527" s="55"/>
      <c r="D527" s="57" t="str">
        <f>IF(K527="","",VLOOKUP(F527,Tabelle1!$A$2:$C$496,3,0))</f>
        <v/>
      </c>
      <c r="E527" s="57" t="str">
        <f>IF(K527="","",VLOOKUP(F527,Tabelle1!$A$2:$M$496,13,0))</f>
        <v/>
      </c>
      <c r="F527" s="56"/>
      <c r="G527" s="57"/>
      <c r="H527" s="57"/>
      <c r="I527" s="57"/>
      <c r="J527" s="57"/>
      <c r="K527" s="57" t="str">
        <f t="shared" si="26"/>
        <v/>
      </c>
      <c r="L527" s="57" t="str">
        <f>IF(K527="","",VLOOKUP(F527,Tabelle1!$A$2:$I$496,9,0))</f>
        <v/>
      </c>
      <c r="M527" s="57" t="str">
        <f>IF(K527="","",VLOOKUP(F527,Tabelle1!$A$2:$G$496,7,0))</f>
        <v/>
      </c>
      <c r="N527" s="66" t="str">
        <f t="shared" si="27"/>
        <v/>
      </c>
      <c r="O527" s="66" t="str">
        <f>IF(K527="","",((K527*VLOOKUP(F527,Tabelle1!$A$2:$I$496,8,0))/$W$4))</f>
        <v/>
      </c>
      <c r="P527" s="76" t="str">
        <f>IF(K527="","",VLOOKUP(F527,Tabelle1!$A$2:$L$496,12,0))</f>
        <v/>
      </c>
    </row>
    <row r="528" spans="1:16">
      <c r="A528" s="67"/>
      <c r="B528" s="55"/>
      <c r="C528" s="55"/>
      <c r="D528" s="57" t="str">
        <f>IF(K528="","",VLOOKUP(F528,Tabelle1!$A$2:$C$496,3,0))</f>
        <v/>
      </c>
      <c r="E528" s="57" t="str">
        <f>IF(K528="","",VLOOKUP(F528,Tabelle1!$A$2:$M$496,13,0))</f>
        <v/>
      </c>
      <c r="F528" s="56"/>
      <c r="G528" s="57"/>
      <c r="H528" s="57"/>
      <c r="I528" s="57"/>
      <c r="J528" s="57"/>
      <c r="K528" s="57" t="str">
        <f t="shared" si="26"/>
        <v/>
      </c>
      <c r="L528" s="57" t="str">
        <f>IF(K528="","",VLOOKUP(F528,Tabelle1!$A$2:$I$496,9,0))</f>
        <v/>
      </c>
      <c r="M528" s="57" t="str">
        <f>IF(K528="","",VLOOKUP(F528,Tabelle1!$A$2:$G$496,7,0))</f>
        <v/>
      </c>
      <c r="N528" s="66" t="str">
        <f t="shared" si="27"/>
        <v/>
      </c>
      <c r="O528" s="66" t="str">
        <f>IF(K528="","",((K528*VLOOKUP(F528,Tabelle1!$A$2:$I$496,8,0))/$W$4))</f>
        <v/>
      </c>
      <c r="P528" s="76" t="str">
        <f>IF(K528="","",VLOOKUP(F528,Tabelle1!$A$2:$L$496,12,0))</f>
        <v/>
      </c>
    </row>
    <row r="529" spans="1:16">
      <c r="A529" s="67"/>
      <c r="B529" s="55"/>
      <c r="C529" s="55"/>
      <c r="D529" s="57" t="str">
        <f>IF(K529="","",VLOOKUP(F529,Tabelle1!$A$2:$C$496,3,0))</f>
        <v/>
      </c>
      <c r="E529" s="57" t="str">
        <f>IF(K529="","",VLOOKUP(F529,Tabelle1!$A$2:$M$496,13,0))</f>
        <v/>
      </c>
      <c r="F529" s="56"/>
      <c r="G529" s="57"/>
      <c r="H529" s="57"/>
      <c r="I529" s="57"/>
      <c r="J529" s="57"/>
      <c r="K529" s="57" t="str">
        <f t="shared" si="26"/>
        <v/>
      </c>
      <c r="L529" s="57" t="str">
        <f>IF(K529="","",VLOOKUP(F529,Tabelle1!$A$2:$I$496,9,0))</f>
        <v/>
      </c>
      <c r="M529" s="57" t="str">
        <f>IF(K529="","",VLOOKUP(F529,Tabelle1!$A$2:$G$496,7,0))</f>
        <v/>
      </c>
      <c r="N529" s="66" t="str">
        <f t="shared" si="27"/>
        <v/>
      </c>
      <c r="O529" s="66" t="str">
        <f>IF(K529="","",((K529*VLOOKUP(F529,Tabelle1!$A$2:$I$496,8,0))/$W$4))</f>
        <v/>
      </c>
      <c r="P529" s="76" t="str">
        <f>IF(K529="","",VLOOKUP(F529,Tabelle1!$A$2:$L$496,12,0))</f>
        <v/>
      </c>
    </row>
  </sheetData>
  <mergeCells count="13">
    <mergeCell ref="R11:S11"/>
    <mergeCell ref="R3:S3"/>
    <mergeCell ref="R7:S7"/>
    <mergeCell ref="R8:S8"/>
    <mergeCell ref="R9:S9"/>
    <mergeCell ref="R10:S10"/>
    <mergeCell ref="S45:T45"/>
    <mergeCell ref="R12:S12"/>
    <mergeCell ref="R13:S13"/>
    <mergeCell ref="R14:S14"/>
    <mergeCell ref="R15:S15"/>
    <mergeCell ref="R16:S16"/>
    <mergeCell ref="R42:S42"/>
  </mergeCells>
  <conditionalFormatting sqref="D4:E529 K4:P529 S44">
    <cfRule type="containsBlanks" dxfId="1316" priority="1245">
      <formula>LEN(TRIM(D4))=0</formula>
    </cfRule>
  </conditionalFormatting>
  <conditionalFormatting sqref="F4:F17">
    <cfRule type="duplicateValues" dxfId="1315" priority="263"/>
    <cfRule type="duplicateValues" dxfId="1314" priority="290"/>
    <cfRule type="duplicateValues" dxfId="1313" priority="334"/>
    <cfRule type="duplicateValues" dxfId="1312" priority="264"/>
    <cfRule type="duplicateValues" dxfId="1311" priority="272"/>
    <cfRule type="duplicateValues" dxfId="1310" priority="273"/>
    <cfRule type="duplicateValues" dxfId="1309" priority="271"/>
    <cfRule type="duplicateValues" dxfId="1308" priority="265"/>
    <cfRule type="duplicateValues" dxfId="1307" priority="266"/>
    <cfRule type="duplicateValues" dxfId="1306" priority="267"/>
    <cfRule type="duplicateValues" dxfId="1305" priority="268"/>
    <cfRule type="duplicateValues" dxfId="1304" priority="269"/>
    <cfRule type="duplicateValues" dxfId="1303" priority="270"/>
    <cfRule type="duplicateValues" dxfId="1302" priority="316"/>
  </conditionalFormatting>
  <conditionalFormatting sqref="F18">
    <cfRule type="duplicateValues" dxfId="1301" priority="333"/>
    <cfRule type="duplicateValues" dxfId="1300" priority="262"/>
    <cfRule type="duplicateValues" dxfId="1299" priority="315"/>
    <cfRule type="duplicateValues" dxfId="1298" priority="289"/>
  </conditionalFormatting>
  <conditionalFormatting sqref="F19">
    <cfRule type="duplicateValues" dxfId="1297" priority="286"/>
    <cfRule type="duplicateValues" dxfId="1296" priority="284"/>
    <cfRule type="duplicateValues" dxfId="1295" priority="283"/>
    <cfRule type="duplicateValues" dxfId="1294" priority="331"/>
    <cfRule type="duplicateValues" dxfId="1293" priority="282"/>
    <cfRule type="duplicateValues" dxfId="1292" priority="281"/>
    <cfRule type="duplicateValues" dxfId="1291" priority="280"/>
    <cfRule type="duplicateValues" dxfId="1290" priority="314"/>
    <cfRule type="duplicateValues" dxfId="1289" priority="285"/>
    <cfRule type="duplicateValues" dxfId="1288" priority="287"/>
    <cfRule type="duplicateValues" dxfId="1287" priority="288"/>
  </conditionalFormatting>
  <conditionalFormatting sqref="F20">
    <cfRule type="duplicateValues" dxfId="1286" priority="261"/>
    <cfRule type="duplicateValues" dxfId="1285" priority="260"/>
    <cfRule type="duplicateValues" dxfId="1284" priority="259"/>
    <cfRule type="duplicateValues" dxfId="1283" priority="258"/>
    <cfRule type="duplicateValues" dxfId="1282" priority="328"/>
    <cfRule type="duplicateValues" dxfId="1281" priority="256"/>
    <cfRule type="duplicateValues" dxfId="1280" priority="253"/>
    <cfRule type="duplicateValues" dxfId="1279" priority="257"/>
    <cfRule type="duplicateValues" dxfId="1278" priority="255"/>
    <cfRule type="duplicateValues" dxfId="1277" priority="279"/>
    <cfRule type="duplicateValues" dxfId="1276" priority="277"/>
    <cfRule type="duplicateValues" dxfId="1275" priority="312"/>
    <cfRule type="duplicateValues" dxfId="1274" priority="313"/>
    <cfRule type="duplicateValues" dxfId="1273" priority="252"/>
    <cfRule type="duplicateValues" dxfId="1272" priority="254"/>
    <cfRule type="duplicateValues" dxfId="1271" priority="325"/>
    <cfRule type="duplicateValues" dxfId="1270" priority="326"/>
    <cfRule type="duplicateValues" dxfId="1269" priority="251"/>
    <cfRule type="duplicateValues" dxfId="1268" priority="278"/>
  </conditionalFormatting>
  <conditionalFormatting sqref="F21">
    <cfRule type="duplicateValues" dxfId="1267" priority="329"/>
    <cfRule type="duplicateValues" dxfId="1266" priority="309"/>
    <cfRule type="duplicateValues" dxfId="1265" priority="310"/>
    <cfRule type="duplicateValues" dxfId="1264" priority="276"/>
    <cfRule type="duplicateValues" dxfId="1263" priority="275"/>
    <cfRule type="duplicateValues" dxfId="1262" priority="274"/>
    <cfRule type="duplicateValues" dxfId="1261" priority="311"/>
    <cfRule type="duplicateValues" dxfId="1260" priority="324"/>
  </conditionalFormatting>
  <conditionalFormatting sqref="F22">
    <cfRule type="duplicateValues" dxfId="1259" priority="308"/>
    <cfRule type="duplicateValues" dxfId="1258" priority="307"/>
    <cfRule type="duplicateValues" dxfId="1257" priority="306"/>
    <cfRule type="duplicateValues" dxfId="1256" priority="323"/>
    <cfRule type="duplicateValues" dxfId="1255" priority="250"/>
    <cfRule type="duplicateValues" dxfId="1254" priority="330"/>
  </conditionalFormatting>
  <conditionalFormatting sqref="F23">
    <cfRule type="duplicateValues" dxfId="1253" priority="305"/>
    <cfRule type="duplicateValues" dxfId="1252" priority="322"/>
    <cfRule type="duplicateValues" dxfId="1251" priority="327"/>
  </conditionalFormatting>
  <conditionalFormatting sqref="F26">
    <cfRule type="duplicateValues" dxfId="1250" priority="248"/>
    <cfRule type="duplicateValues" dxfId="1249" priority="208"/>
    <cfRule type="duplicateValues" dxfId="1248" priority="207"/>
    <cfRule type="duplicateValues" dxfId="1247" priority="206"/>
    <cfRule type="duplicateValues" dxfId="1246" priority="205"/>
    <cfRule type="duplicateValues" dxfId="1245" priority="204"/>
    <cfRule type="duplicateValues" dxfId="1244" priority="203"/>
    <cfRule type="duplicateValues" dxfId="1243" priority="229"/>
    <cfRule type="duplicateValues" dxfId="1242" priority="228"/>
    <cfRule type="duplicateValues" dxfId="1241" priority="202"/>
    <cfRule type="duplicateValues" dxfId="1240" priority="209"/>
  </conditionalFormatting>
  <conditionalFormatting sqref="F27">
    <cfRule type="duplicateValues" dxfId="1239" priority="174"/>
    <cfRule type="duplicateValues" dxfId="1238" priority="175"/>
    <cfRule type="duplicateValues" dxfId="1237" priority="176"/>
    <cfRule type="duplicateValues" dxfId="1236" priority="179"/>
    <cfRule type="duplicateValues" dxfId="1235" priority="201"/>
    <cfRule type="duplicateValues" dxfId="1234" priority="247"/>
    <cfRule type="duplicateValues" dxfId="1233" priority="177"/>
    <cfRule type="duplicateValues" dxfId="1232" priority="227"/>
    <cfRule type="duplicateValues" dxfId="1231" priority="180"/>
    <cfRule type="duplicateValues" dxfId="1230" priority="181"/>
    <cfRule type="duplicateValues" dxfId="1229" priority="182"/>
    <cfRule type="duplicateValues" dxfId="1228" priority="183"/>
    <cfRule type="duplicateValues" dxfId="1227" priority="178"/>
    <cfRule type="duplicateValues" dxfId="1226" priority="184"/>
  </conditionalFormatting>
  <conditionalFormatting sqref="F28">
    <cfRule type="duplicateValues" dxfId="1225" priority="246"/>
    <cfRule type="duplicateValues" dxfId="1224" priority="173"/>
    <cfRule type="duplicateValues" dxfId="1223" priority="200"/>
    <cfRule type="duplicateValues" dxfId="1222" priority="226"/>
  </conditionalFormatting>
  <conditionalFormatting sqref="F29">
    <cfRule type="duplicateValues" dxfId="1221" priority="244"/>
    <cfRule type="duplicateValues" dxfId="1220" priority="194"/>
    <cfRule type="duplicateValues" dxfId="1219" priority="193"/>
    <cfRule type="duplicateValues" dxfId="1218" priority="192"/>
    <cfRule type="duplicateValues" dxfId="1217" priority="191"/>
    <cfRule type="duplicateValues" dxfId="1216" priority="199"/>
    <cfRule type="duplicateValues" dxfId="1215" priority="198"/>
    <cfRule type="duplicateValues" dxfId="1214" priority="197"/>
    <cfRule type="duplicateValues" dxfId="1213" priority="196"/>
    <cfRule type="duplicateValues" dxfId="1212" priority="195"/>
    <cfRule type="duplicateValues" dxfId="1211" priority="225"/>
  </conditionalFormatting>
  <conditionalFormatting sqref="F30">
    <cfRule type="duplicateValues" dxfId="1210" priority="169"/>
    <cfRule type="duplicateValues" dxfId="1209" priority="241"/>
    <cfRule type="duplicateValues" dxfId="1208" priority="237"/>
    <cfRule type="duplicateValues" dxfId="1207" priority="236"/>
    <cfRule type="duplicateValues" dxfId="1206" priority="170"/>
    <cfRule type="duplicateValues" dxfId="1205" priority="190"/>
    <cfRule type="duplicateValues" dxfId="1204" priority="189"/>
    <cfRule type="duplicateValues" dxfId="1203" priority="188"/>
    <cfRule type="duplicateValues" dxfId="1202" priority="171"/>
    <cfRule type="duplicateValues" dxfId="1201" priority="223"/>
    <cfRule type="duplicateValues" dxfId="1200" priority="224"/>
    <cfRule type="duplicateValues" dxfId="1199" priority="161"/>
    <cfRule type="duplicateValues" dxfId="1198" priority="162"/>
    <cfRule type="duplicateValues" dxfId="1197" priority="163"/>
    <cfRule type="duplicateValues" dxfId="1196" priority="164"/>
    <cfRule type="duplicateValues" dxfId="1195" priority="165"/>
    <cfRule type="duplicateValues" dxfId="1194" priority="166"/>
    <cfRule type="duplicateValues" dxfId="1193" priority="167"/>
    <cfRule type="duplicateValues" dxfId="1192" priority="168"/>
  </conditionalFormatting>
  <conditionalFormatting sqref="F31">
    <cfRule type="duplicateValues" dxfId="1191" priority="242"/>
    <cfRule type="duplicateValues" dxfId="1190" priority="220"/>
    <cfRule type="duplicateValues" dxfId="1189" priority="222"/>
    <cfRule type="duplicateValues" dxfId="1188" priority="185"/>
    <cfRule type="duplicateValues" dxfId="1187" priority="187"/>
    <cfRule type="duplicateValues" dxfId="1186" priority="221"/>
    <cfRule type="duplicateValues" dxfId="1185" priority="235"/>
    <cfRule type="duplicateValues" dxfId="1184" priority="186"/>
  </conditionalFormatting>
  <conditionalFormatting sqref="F32">
    <cfRule type="duplicateValues" dxfId="1183" priority="218"/>
    <cfRule type="duplicateValues" dxfId="1182" priority="217"/>
    <cfRule type="duplicateValues" dxfId="1181" priority="219"/>
    <cfRule type="duplicateValues" dxfId="1180" priority="234"/>
    <cfRule type="duplicateValues" dxfId="1179" priority="243"/>
    <cfRule type="duplicateValues" dxfId="1178" priority="160"/>
  </conditionalFormatting>
  <conditionalFormatting sqref="F33">
    <cfRule type="duplicateValues" dxfId="1177" priority="216"/>
    <cfRule type="duplicateValues" dxfId="1176" priority="238"/>
    <cfRule type="duplicateValues" dxfId="1175" priority="233"/>
  </conditionalFormatting>
  <conditionalFormatting sqref="F34">
    <cfRule type="duplicateValues" dxfId="1174" priority="245"/>
    <cfRule type="duplicateValues" dxfId="1173" priority="232"/>
  </conditionalFormatting>
  <conditionalFormatting sqref="F35">
    <cfRule type="duplicateValues" dxfId="1172" priority="240"/>
    <cfRule type="duplicateValues" dxfId="1171" priority="239"/>
    <cfRule type="duplicateValues" dxfId="1170" priority="172"/>
  </conditionalFormatting>
  <conditionalFormatting sqref="F36">
    <cfRule type="duplicateValues" dxfId="1169" priority="119"/>
    <cfRule type="duplicateValues" dxfId="1168" priority="139"/>
    <cfRule type="duplicateValues" dxfId="1167" priority="138"/>
    <cfRule type="duplicateValues" dxfId="1166" priority="118"/>
    <cfRule type="duplicateValues" dxfId="1165" priority="123"/>
    <cfRule type="duplicateValues" dxfId="1164" priority="122"/>
    <cfRule type="duplicateValues" dxfId="1163" priority="159"/>
    <cfRule type="duplicateValues" dxfId="1162" priority="121"/>
    <cfRule type="duplicateValues" dxfId="1161" priority="120"/>
  </conditionalFormatting>
  <conditionalFormatting sqref="F37">
    <cfRule type="duplicateValues" dxfId="1160" priority="114"/>
    <cfRule type="duplicateValues" dxfId="1159" priority="158"/>
    <cfRule type="duplicateValues" dxfId="1158" priority="113"/>
    <cfRule type="duplicateValues" dxfId="1157" priority="112"/>
    <cfRule type="duplicateValues" dxfId="1156" priority="117"/>
    <cfRule type="duplicateValues" dxfId="1155" priority="111"/>
    <cfRule type="duplicateValues" dxfId="1154" priority="110"/>
    <cfRule type="duplicateValues" dxfId="1153" priority="136"/>
    <cfRule type="duplicateValues" dxfId="1152" priority="115"/>
    <cfRule type="duplicateValues" dxfId="1151" priority="137"/>
    <cfRule type="duplicateValues" dxfId="1150" priority="116"/>
  </conditionalFormatting>
  <conditionalFormatting sqref="F38">
    <cfRule type="duplicateValues" dxfId="1149" priority="157"/>
    <cfRule type="duplicateValues" dxfId="1148" priority="92"/>
    <cfRule type="duplicateValues" dxfId="1147" priority="109"/>
    <cfRule type="duplicateValues" dxfId="1146" priority="82"/>
    <cfRule type="duplicateValues" dxfId="1145" priority="84"/>
    <cfRule type="duplicateValues" dxfId="1144" priority="86"/>
    <cfRule type="duplicateValues" dxfId="1143" priority="85"/>
    <cfRule type="duplicateValues" dxfId="1142" priority="90"/>
    <cfRule type="duplicateValues" dxfId="1141" priority="91"/>
    <cfRule type="duplicateValues" dxfId="1140" priority="83"/>
    <cfRule type="duplicateValues" dxfId="1139" priority="88"/>
    <cfRule type="duplicateValues" dxfId="1138" priority="89"/>
    <cfRule type="duplicateValues" dxfId="1137" priority="135"/>
    <cfRule type="duplicateValues" dxfId="1136" priority="87"/>
  </conditionalFormatting>
  <conditionalFormatting sqref="F39">
    <cfRule type="duplicateValues" dxfId="1135" priority="156"/>
    <cfRule type="duplicateValues" dxfId="1134" priority="134"/>
    <cfRule type="duplicateValues" dxfId="1133" priority="81"/>
    <cfRule type="duplicateValues" dxfId="1132" priority="108"/>
  </conditionalFormatting>
  <conditionalFormatting sqref="F40">
    <cfRule type="duplicateValues" dxfId="1131" priority="100"/>
    <cfRule type="duplicateValues" dxfId="1130" priority="133"/>
    <cfRule type="duplicateValues" dxfId="1129" priority="101"/>
    <cfRule type="duplicateValues" dxfId="1128" priority="105"/>
    <cfRule type="duplicateValues" dxfId="1127" priority="106"/>
    <cfRule type="duplicateValues" dxfId="1126" priority="107"/>
    <cfRule type="duplicateValues" dxfId="1125" priority="154"/>
    <cfRule type="duplicateValues" dxfId="1124" priority="102"/>
    <cfRule type="duplicateValues" dxfId="1123" priority="104"/>
    <cfRule type="duplicateValues" dxfId="1122" priority="103"/>
    <cfRule type="duplicateValues" dxfId="1121" priority="99"/>
  </conditionalFormatting>
  <conditionalFormatting sqref="F41">
    <cfRule type="duplicateValues" dxfId="1120" priority="76"/>
    <cfRule type="duplicateValues" dxfId="1119" priority="75"/>
    <cfRule type="duplicateValues" dxfId="1118" priority="74"/>
    <cfRule type="duplicateValues" dxfId="1117" priority="72"/>
    <cfRule type="duplicateValues" dxfId="1116" priority="71"/>
    <cfRule type="duplicateValues" dxfId="1115" priority="70"/>
    <cfRule type="duplicateValues" dxfId="1114" priority="69"/>
    <cfRule type="duplicateValues" dxfId="1113" priority="151"/>
    <cfRule type="duplicateValues" dxfId="1112" priority="73"/>
    <cfRule type="duplicateValues" dxfId="1111" priority="145"/>
    <cfRule type="duplicateValues" dxfId="1110" priority="132"/>
    <cfRule type="duplicateValues" dxfId="1109" priority="131"/>
    <cfRule type="duplicateValues" dxfId="1108" priority="144"/>
    <cfRule type="duplicateValues" dxfId="1107" priority="98"/>
    <cfRule type="duplicateValues" dxfId="1106" priority="97"/>
    <cfRule type="duplicateValues" dxfId="1105" priority="96"/>
    <cfRule type="duplicateValues" dxfId="1104" priority="79"/>
    <cfRule type="duplicateValues" dxfId="1103" priority="78"/>
    <cfRule type="duplicateValues" dxfId="1102" priority="77"/>
  </conditionalFormatting>
  <conditionalFormatting sqref="F42">
    <cfRule type="duplicateValues" dxfId="1101" priority="152"/>
    <cfRule type="duplicateValues" dxfId="1100" priority="143"/>
    <cfRule type="duplicateValues" dxfId="1099" priority="130"/>
    <cfRule type="duplicateValues" dxfId="1098" priority="129"/>
    <cfRule type="duplicateValues" dxfId="1097" priority="67"/>
    <cfRule type="duplicateValues" dxfId="1096" priority="95"/>
    <cfRule type="duplicateValues" dxfId="1095" priority="94"/>
    <cfRule type="duplicateValues" dxfId="1094" priority="93"/>
    <cfRule type="duplicateValues" dxfId="1093" priority="128"/>
  </conditionalFormatting>
  <conditionalFormatting sqref="F43">
    <cfRule type="duplicateValues" dxfId="1092" priority="65"/>
    <cfRule type="duplicateValues" dxfId="1091" priority="56"/>
    <cfRule type="duplicateValues" dxfId="1090" priority="142"/>
    <cfRule type="duplicateValues" dxfId="1089" priority="68"/>
    <cfRule type="duplicateValues" dxfId="1088" priority="60"/>
    <cfRule type="duplicateValues" dxfId="1087" priority="61"/>
    <cfRule type="duplicateValues" dxfId="1086" priority="63"/>
    <cfRule type="duplicateValues" dxfId="1085" priority="64"/>
    <cfRule type="duplicateValues" dxfId="1084" priority="126"/>
    <cfRule type="duplicateValues" dxfId="1083" priority="40"/>
    <cfRule type="duplicateValues" dxfId="1082" priority="41"/>
    <cfRule type="duplicateValues" dxfId="1081" priority="125"/>
    <cfRule type="duplicateValues" dxfId="1080" priority="42"/>
    <cfRule type="duplicateValues" dxfId="1079" priority="43"/>
    <cfRule type="duplicateValues" dxfId="1078" priority="55"/>
    <cfRule type="duplicateValues" dxfId="1077" priority="127"/>
    <cfRule type="duplicateValues" dxfId="1076" priority="153"/>
    <cfRule type="duplicateValues" dxfId="1075" priority="54"/>
    <cfRule type="duplicateValues" dxfId="1074" priority="44"/>
    <cfRule type="duplicateValues" dxfId="1073" priority="50"/>
    <cfRule type="duplicateValues" dxfId="1072" priority="49"/>
    <cfRule type="duplicateValues" dxfId="1071" priority="48"/>
    <cfRule type="duplicateValues" dxfId="1070" priority="47"/>
    <cfRule type="duplicateValues" dxfId="1069" priority="46"/>
    <cfRule type="duplicateValues" dxfId="1068" priority="45"/>
  </conditionalFormatting>
  <conditionalFormatting sqref="F44">
    <cfRule type="duplicateValues" dxfId="1067" priority="58"/>
    <cfRule type="duplicateValues" dxfId="1066" priority="57"/>
    <cfRule type="duplicateValues" dxfId="1065" priority="141"/>
    <cfRule type="duplicateValues" dxfId="1064" priority="53"/>
    <cfRule type="duplicateValues" dxfId="1063" priority="52"/>
    <cfRule type="duplicateValues" dxfId="1062" priority="146"/>
    <cfRule type="duplicateValues" dxfId="1061" priority="39"/>
    <cfRule type="duplicateValues" dxfId="1060" priority="124"/>
    <cfRule type="duplicateValues" dxfId="1059" priority="66"/>
    <cfRule type="duplicateValues" dxfId="1058" priority="51"/>
    <cfRule type="duplicateValues" dxfId="1057" priority="62"/>
    <cfRule type="duplicateValues" dxfId="1056" priority="59"/>
  </conditionalFormatting>
  <conditionalFormatting sqref="F45">
    <cfRule type="duplicateValues" dxfId="1055" priority="140"/>
    <cfRule type="duplicateValues" dxfId="1054" priority="155"/>
  </conditionalFormatting>
  <conditionalFormatting sqref="F46">
    <cfRule type="duplicateValues" dxfId="1053" priority="147"/>
    <cfRule type="duplicateValues" dxfId="1052" priority="80"/>
  </conditionalFormatting>
  <conditionalFormatting sqref="F46:F47">
    <cfRule type="duplicateValues" dxfId="1051" priority="150"/>
  </conditionalFormatting>
  <conditionalFormatting sqref="F47">
    <cfRule type="duplicateValues" dxfId="1050" priority="149"/>
  </conditionalFormatting>
  <conditionalFormatting sqref="F48">
    <cfRule type="duplicateValues" dxfId="1049" priority="148"/>
  </conditionalFormatting>
  <conditionalFormatting sqref="K4:P529 D4:E529 S44">
    <cfRule type="notContainsBlanks" dxfId="1048" priority="1244">
      <formula>LEN(TRIM(D4))&gt;0</formula>
    </cfRule>
  </conditionalFormatting>
  <conditionalFormatting sqref="M4:M529">
    <cfRule type="cellIs" dxfId="1047" priority="1243" operator="equal">
      <formula>1</formula>
    </cfRule>
  </conditionalFormatting>
  <conditionalFormatting sqref="P4:P529">
    <cfRule type="cellIs" dxfId="1046" priority="1233" operator="equal">
      <formula>"D"</formula>
    </cfRule>
    <cfRule type="cellIs" dxfId="1045" priority="1234" operator="equal">
      <formula>"C"</formula>
    </cfRule>
    <cfRule type="cellIs" dxfId="1044" priority="1235" operator="equal">
      <formula>"B"</formula>
    </cfRule>
    <cfRule type="containsText" dxfId="1043" priority="1236" operator="containsText" text="A">
      <formula>NOT(ISERROR(SEARCH("A",P4)))</formula>
    </cfRule>
  </conditionalFormatting>
  <conditionalFormatting sqref="S47:T52">
    <cfRule type="notContainsBlanks" dxfId="1042" priority="1239">
      <formula>LEN(TRIM(S47))&gt;0</formula>
    </cfRule>
    <cfRule type="containsBlanks" dxfId="1041" priority="1240">
      <formula>LEN(TRIM(S47))=0</formula>
    </cfRule>
  </conditionalFormatting>
  <conditionalFormatting sqref="U45">
    <cfRule type="containsBlanks" dxfId="1040" priority="1241">
      <formula>LEN(TRIM(U45))=0</formula>
    </cfRule>
    <cfRule type="notContainsBlanks" dxfId="1039" priority="1242">
      <formula>LEN(TRIM(U45))&gt;0</formula>
    </cfRule>
  </conditionalFormatting>
  <dataValidations count="1">
    <dataValidation allowBlank="1" showInputMessage="1" sqref="I49:J529 J4:J48" xr:uid="{00000000-0002-0000-0100-000000000000}"/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Tylko z listy!" xr:uid="{00000000-0002-0000-0100-000001000000}">
          <x14:formula1>
            <xm:f>'Listy wyboru'!$A$2:$A$5</xm:f>
          </x14:formula1>
          <xm:sqref>B49:B529</xm:sqref>
        </x14:dataValidation>
        <x14:dataValidation type="list" allowBlank="1" showInputMessage="1" showErrorMessage="1" xr:uid="{00000000-0002-0000-0100-000003000000}">
          <x14:formula1>
            <xm:f>Tabelle1!$A$205:$A$292</xm:f>
          </x14:formula1>
          <xm:sqref>F49:F529</xm:sqref>
        </x14:dataValidation>
        <x14:dataValidation type="date" allowBlank="1" showInputMessage="1" showErrorMessage="1" error="DD.MM.RRRR" xr:uid="{00000000-0002-0000-0100-000002000000}">
          <x14:formula1>
            <xm:f>'Karta informacyjna'!B49</xm:f>
          </x14:formula1>
          <x14:formula2>
            <xm:f>'Karta informacyjna'!B50</xm:f>
          </x14:formula2>
          <xm:sqref>A49:A529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65"/>
  <sheetViews>
    <sheetView showGridLines="0" topLeftCell="F1" zoomScale="70" zoomScaleNormal="70" workbookViewId="0">
      <selection activeCell="J13" sqref="J13"/>
    </sheetView>
  </sheetViews>
  <sheetFormatPr defaultColWidth="10.90625" defaultRowHeight="14.5"/>
  <cols>
    <col min="2" max="3" width="0" hidden="1" customWidth="1"/>
    <col min="4" max="6" width="22.81640625" customWidth="1"/>
    <col min="7" max="9" width="22.81640625" hidden="1" customWidth="1"/>
    <col min="10" max="10" width="22.81640625" customWidth="1"/>
    <col min="11" max="11" width="21.36328125" customWidth="1"/>
    <col min="12" max="12" width="13.1796875" customWidth="1"/>
    <col min="13" max="13" width="19.453125" customWidth="1"/>
    <col min="14" max="14" width="20.81640625" customWidth="1"/>
    <col min="15" max="16" width="19.54296875" customWidth="1"/>
    <col min="18" max="20" width="15.6328125" customWidth="1"/>
    <col min="21" max="21" width="19.90625" customWidth="1"/>
    <col min="22" max="22" width="15.6328125" customWidth="1"/>
    <col min="23" max="23" width="14.1796875" bestFit="1" customWidth="1"/>
  </cols>
  <sheetData>
    <row r="1" spans="1:23" ht="23.5">
      <c r="A1" s="60" t="s">
        <v>394</v>
      </c>
      <c r="B1" s="60"/>
      <c r="G1" s="49"/>
      <c r="H1" s="49"/>
      <c r="I1" s="49"/>
      <c r="J1" s="49"/>
    </row>
    <row r="2" spans="1:23">
      <c r="J2" s="70">
        <f t="shared" ref="J2" si="0">SUM(J4:J265)</f>
        <v>0</v>
      </c>
      <c r="M2" s="70">
        <f t="shared" ref="M2:N2" si="1">SUM(M4:M265)</f>
        <v>0</v>
      </c>
      <c r="N2" s="71">
        <f t="shared" si="1"/>
        <v>0</v>
      </c>
      <c r="O2" s="71">
        <f>SUM(O4:O265)</f>
        <v>0</v>
      </c>
      <c r="P2" s="71"/>
    </row>
    <row r="3" spans="1:23" s="11" customFormat="1" ht="72.5">
      <c r="A3" s="68" t="s">
        <v>359</v>
      </c>
      <c r="B3" s="69" t="s">
        <v>360</v>
      </c>
      <c r="C3" s="69" t="s">
        <v>365</v>
      </c>
      <c r="D3" s="48" t="s">
        <v>367</v>
      </c>
      <c r="E3" s="78" t="s">
        <v>486</v>
      </c>
      <c r="F3" s="48" t="s">
        <v>398</v>
      </c>
      <c r="G3" s="48" t="s">
        <v>390</v>
      </c>
      <c r="H3" s="48" t="s">
        <v>397</v>
      </c>
      <c r="I3" s="48" t="s">
        <v>369</v>
      </c>
      <c r="J3" s="48" t="s">
        <v>395</v>
      </c>
      <c r="K3" s="48" t="s">
        <v>402</v>
      </c>
      <c r="L3" s="48" t="s">
        <v>368</v>
      </c>
      <c r="M3" s="48" t="s">
        <v>396</v>
      </c>
      <c r="N3" s="48" t="s">
        <v>371</v>
      </c>
      <c r="O3" s="48" t="s">
        <v>372</v>
      </c>
      <c r="P3" s="78" t="s">
        <v>487</v>
      </c>
      <c r="R3" s="151"/>
      <c r="S3" s="151"/>
      <c r="T3" s="58" t="s">
        <v>6</v>
      </c>
      <c r="U3" s="58" t="s">
        <v>7</v>
      </c>
      <c r="V3" s="59"/>
      <c r="W3" s="58" t="s">
        <v>8</v>
      </c>
    </row>
    <row r="4" spans="1:23">
      <c r="A4" s="67"/>
      <c r="B4" s="55" t="s">
        <v>361</v>
      </c>
      <c r="C4" s="55">
        <v>6</v>
      </c>
      <c r="D4" s="56" t="str">
        <f>IF(K4="","",VLOOKUP(F4,Tabelle1!$A$2:$C$496,3,0))</f>
        <v/>
      </c>
      <c r="E4" s="57" t="str">
        <f>IF(K4="","",VLOOKUP(F4,Tabelle1!$A$2:$M$496,13,0))</f>
        <v/>
      </c>
      <c r="F4" s="119"/>
      <c r="G4" s="57"/>
      <c r="H4" s="57"/>
      <c r="I4" s="57"/>
      <c r="J4" s="57"/>
      <c r="K4" s="57"/>
      <c r="L4" s="57" t="str">
        <f>IF(K4="","",VLOOKUP(F4,Tabelle1!$A$2:$I$496,9,0))</f>
        <v/>
      </c>
      <c r="M4" s="57" t="str">
        <f>IF(K4="","",VLOOKUP(F4,Tabelle1!$A$2:$G$496,7,0))</f>
        <v/>
      </c>
      <c r="N4" s="66" t="str">
        <f t="shared" ref="N4" si="2">IF(M4&gt;0,O4,"")</f>
        <v/>
      </c>
      <c r="O4" s="66" t="str">
        <f>IF(K4="","",((K4*VLOOKUP(F4,Tabelle1!$A$2:$I$496,8,0))/$W$4))</f>
        <v/>
      </c>
      <c r="P4" s="76" t="str">
        <f>IF(K4="","",VLOOKUP(F4,Tabelle1!$A$2:$L$496,12,0))</f>
        <v/>
      </c>
      <c r="R4" s="61" t="s">
        <v>10</v>
      </c>
      <c r="S4" s="61"/>
      <c r="T4" s="62">
        <f>(SUM(O4:O265))</f>
        <v>0</v>
      </c>
      <c r="U4" s="62">
        <f>SUM(N4:N265)</f>
        <v>0</v>
      </c>
      <c r="V4" s="63"/>
      <c r="W4" s="62">
        <f>U45</f>
        <v>0</v>
      </c>
    </row>
    <row r="5" spans="1:23">
      <c r="A5" s="67"/>
      <c r="B5" s="55" t="s">
        <v>361</v>
      </c>
      <c r="C5" s="55">
        <v>7</v>
      </c>
      <c r="D5" s="56" t="str">
        <f>IF(K5="","",VLOOKUP(F5,Tabelle1!$A$2:$C$496,3,0))</f>
        <v/>
      </c>
      <c r="E5" s="57" t="str">
        <f>IF(K5="","",VLOOKUP(F5,Tabelle1!$A$2:$M$496,13,0))</f>
        <v/>
      </c>
      <c r="F5" s="119"/>
      <c r="G5" s="57"/>
      <c r="H5" s="57"/>
      <c r="I5" s="57"/>
      <c r="J5" s="57"/>
      <c r="K5" s="57"/>
      <c r="L5" s="57" t="str">
        <f>IF(K5="","",VLOOKUP(F5,Tabelle1!$A$2:$I$496,9,0))</f>
        <v/>
      </c>
      <c r="M5" s="57" t="str">
        <f>IF(K5="","",VLOOKUP(F5,Tabelle1!$A$2:$G$496,7,0))</f>
        <v/>
      </c>
      <c r="N5" s="66" t="str">
        <f t="shared" ref="N5:N68" si="3">IF(M5&gt;0,O5,"")</f>
        <v/>
      </c>
      <c r="O5" s="66" t="str">
        <f>IF(K5="","",((K5*VLOOKUP(F5,Tabelle1!$A$2:$I$496,8,0))/$W$4))</f>
        <v/>
      </c>
      <c r="P5" s="76" t="str">
        <f>IF(K5="","",VLOOKUP(F5,Tabelle1!$A$2:$L$496,12,0))</f>
        <v/>
      </c>
      <c r="R5" s="63"/>
      <c r="S5" s="63"/>
      <c r="T5" s="63"/>
      <c r="U5" s="63"/>
      <c r="V5" s="63"/>
    </row>
    <row r="6" spans="1:23">
      <c r="A6" s="67"/>
      <c r="B6" s="55" t="s">
        <v>361</v>
      </c>
      <c r="C6" s="55">
        <v>8</v>
      </c>
      <c r="D6" s="56" t="str">
        <f>IF(K6="","",VLOOKUP(F6,Tabelle1!$A$2:$C$496,3,0))</f>
        <v/>
      </c>
      <c r="E6" s="57" t="str">
        <f>IF(K6="","",VLOOKUP(F6,Tabelle1!$A$2:$M$496,13,0))</f>
        <v/>
      </c>
      <c r="F6" s="119"/>
      <c r="G6" s="57"/>
      <c r="H6" s="57"/>
      <c r="I6" s="57"/>
      <c r="J6" s="57"/>
      <c r="K6" s="57"/>
      <c r="L6" s="57" t="str">
        <f>IF(K6="","",VLOOKUP(F6,Tabelle1!$A$2:$I$496,9,0))</f>
        <v/>
      </c>
      <c r="M6" s="57" t="str">
        <f>IF(K6="","",VLOOKUP(F6,Tabelle1!$A$2:$G$496,7,0))</f>
        <v/>
      </c>
      <c r="N6" s="66" t="str">
        <f t="shared" si="3"/>
        <v/>
      </c>
      <c r="O6" s="66" t="str">
        <f>IF(K6="","",((K6*VLOOKUP(F6,Tabelle1!$A$2:$I$496,8,0))/$W$4))</f>
        <v/>
      </c>
      <c r="P6" s="76" t="str">
        <f>IF(K6="","",VLOOKUP(F6,Tabelle1!$A$2:$L$496,12,0))</f>
        <v/>
      </c>
      <c r="R6" s="63"/>
      <c r="S6" s="63"/>
      <c r="T6" s="63"/>
      <c r="U6" s="63"/>
      <c r="V6" s="63"/>
    </row>
    <row r="7" spans="1:23" ht="29">
      <c r="A7" s="67"/>
      <c r="B7" s="55" t="s">
        <v>361</v>
      </c>
      <c r="C7" s="55">
        <v>9</v>
      </c>
      <c r="D7" s="56" t="str">
        <f>IF(K7="","",VLOOKUP(F7,Tabelle1!$A$2:$C$496,3,0))</f>
        <v/>
      </c>
      <c r="E7" s="57" t="str">
        <f>IF(K7="","",VLOOKUP(F7,Tabelle1!$A$2:$M$496,13,0))</f>
        <v/>
      </c>
      <c r="F7" s="119"/>
      <c r="G7" s="57"/>
      <c r="H7" s="57"/>
      <c r="I7" s="57"/>
      <c r="J7" s="57"/>
      <c r="K7" s="57"/>
      <c r="L7" s="57" t="str">
        <f>IF(K7="","",VLOOKUP(F7,Tabelle1!$A$2:$I$496,9,0))</f>
        <v/>
      </c>
      <c r="M7" s="57" t="str">
        <f>IF(K7="","",VLOOKUP(F7,Tabelle1!$A$2:$G$496,7,0))</f>
        <v/>
      </c>
      <c r="N7" s="66" t="str">
        <f t="shared" si="3"/>
        <v/>
      </c>
      <c r="O7" s="66" t="str">
        <f>IF(K7="","",((K7*VLOOKUP(F7,Tabelle1!$A$2:$I$496,8,0))/$W$4))</f>
        <v/>
      </c>
      <c r="P7" s="76" t="str">
        <f>IF(K7="","",VLOOKUP(F7,Tabelle1!$A$2:$L$496,12,0))</f>
        <v/>
      </c>
      <c r="R7" s="148" t="s">
        <v>2</v>
      </c>
      <c r="S7" s="148"/>
      <c r="T7" s="58" t="s">
        <v>5</v>
      </c>
      <c r="U7" s="58" t="s">
        <v>4</v>
      </c>
      <c r="V7" s="13"/>
    </row>
    <row r="8" spans="1:23">
      <c r="A8" s="67"/>
      <c r="B8" s="55" t="s">
        <v>361</v>
      </c>
      <c r="C8" s="55">
        <v>10</v>
      </c>
      <c r="D8" s="56" t="str">
        <f>IF(K8="","",VLOOKUP(F8,Tabelle1!$A$2:$C$496,3,0))</f>
        <v/>
      </c>
      <c r="E8" s="57" t="str">
        <f>IF(K8="","",VLOOKUP(F8,Tabelle1!$A$2:$M$496,13,0))</f>
        <v/>
      </c>
      <c r="F8" s="119"/>
      <c r="G8" s="57"/>
      <c r="H8" s="57"/>
      <c r="I8" s="57"/>
      <c r="J8" s="57"/>
      <c r="K8" s="57"/>
      <c r="L8" s="57" t="str">
        <f>IF(K8="","",VLOOKUP(F8,Tabelle1!$A$2:$I$496,9,0))</f>
        <v/>
      </c>
      <c r="M8" s="57" t="str">
        <f>IF(K8="","",VLOOKUP(F8,Tabelle1!$A$2:$G$496,7,0))</f>
        <v/>
      </c>
      <c r="N8" s="66" t="str">
        <f t="shared" si="3"/>
        <v/>
      </c>
      <c r="O8" s="66" t="str">
        <f>IF(K8="","",((K8*VLOOKUP(F8,Tabelle1!$A$2:$I$496,8,0))/$W$4))</f>
        <v/>
      </c>
      <c r="P8" s="76" t="str">
        <f>IF(K8="","",VLOOKUP(F8,Tabelle1!$A$2:$L$496,12,0))</f>
        <v/>
      </c>
      <c r="R8" s="149" t="s">
        <v>14</v>
      </c>
      <c r="S8" s="149"/>
      <c r="T8" s="64">
        <f>SUMIFS($O$4:$O$265,$M$4:$M$265,"0",$D$4:$D$265,R8)</f>
        <v>0</v>
      </c>
      <c r="U8" s="64">
        <f>SUMIFS($O$4:$O$265,$M$4:$M$265,"1",$D$4:$D$265,R8)</f>
        <v>0</v>
      </c>
      <c r="V8" s="14"/>
    </row>
    <row r="9" spans="1:23">
      <c r="A9" s="67"/>
      <c r="B9" s="55" t="s">
        <v>361</v>
      </c>
      <c r="C9" s="55">
        <v>11</v>
      </c>
      <c r="D9" s="56" t="str">
        <f>IF(K9="","",VLOOKUP(F9,Tabelle1!$A$2:$C$496,3,0))</f>
        <v/>
      </c>
      <c r="E9" s="57" t="str">
        <f>IF(K9="","",VLOOKUP(F9,Tabelle1!$A$2:$M$496,13,0))</f>
        <v/>
      </c>
      <c r="F9" s="119"/>
      <c r="G9" s="57"/>
      <c r="H9" s="57"/>
      <c r="I9" s="57"/>
      <c r="J9" s="57"/>
      <c r="K9" s="57"/>
      <c r="L9" s="57" t="str">
        <f>IF(K9="","",VLOOKUP(F9,Tabelle1!$A$2:$I$496,9,0))</f>
        <v/>
      </c>
      <c r="M9" s="57" t="str">
        <f>IF(K9="","",VLOOKUP(F9,Tabelle1!$A$2:$G$496,7,0))</f>
        <v/>
      </c>
      <c r="N9" s="66" t="str">
        <f t="shared" si="3"/>
        <v/>
      </c>
      <c r="O9" s="66" t="str">
        <f>IF(K9="","",((K9*VLOOKUP(F9,Tabelle1!$A$2:$I$496,8,0))/$W$4))</f>
        <v/>
      </c>
      <c r="P9" s="76" t="str">
        <f>IF(K9="","",VLOOKUP(F9,Tabelle1!$A$2:$L$496,12,0))</f>
        <v/>
      </c>
      <c r="R9" s="149" t="s">
        <v>16</v>
      </c>
      <c r="S9" s="149"/>
      <c r="T9" s="64">
        <f>SUMIFS($O$4:$O$265,$M$4:$M$265,"0",$D$4:$D$265,R9)</f>
        <v>0</v>
      </c>
      <c r="U9" s="64">
        <f>SUMIFS($O$4:$O$265,$M$4:$M$265,"1",$D$4:$D$265,R9)</f>
        <v>0</v>
      </c>
      <c r="V9" s="14"/>
    </row>
    <row r="10" spans="1:23">
      <c r="A10" s="67"/>
      <c r="B10" s="55" t="s">
        <v>361</v>
      </c>
      <c r="C10" s="55">
        <v>12</v>
      </c>
      <c r="D10" s="56" t="str">
        <f>IF(K10="","",VLOOKUP(F10,Tabelle1!$A$2:$C$496,3,0))</f>
        <v/>
      </c>
      <c r="E10" s="57" t="str">
        <f>IF(K10="","",VLOOKUP(F10,Tabelle1!$A$2:$M$496,13,0))</f>
        <v/>
      </c>
      <c r="F10" s="119"/>
      <c r="G10" s="57"/>
      <c r="H10" s="57"/>
      <c r="I10" s="57"/>
      <c r="J10" s="57"/>
      <c r="K10" s="57"/>
      <c r="L10" s="57" t="str">
        <f>IF(K10="","",VLOOKUP(F10,Tabelle1!$A$2:$I$496,9,0))</f>
        <v/>
      </c>
      <c r="M10" s="57" t="str">
        <f>IF(K10="","",VLOOKUP(F10,Tabelle1!$A$2:$G$496,7,0))</f>
        <v/>
      </c>
      <c r="N10" s="66" t="str">
        <f t="shared" si="3"/>
        <v/>
      </c>
      <c r="O10" s="66" t="str">
        <f>IF(K10="","",((K10*VLOOKUP(F10,Tabelle1!$A$2:$I$496,8,0))/$W$4))</f>
        <v/>
      </c>
      <c r="P10" s="76" t="str">
        <f>IF(K10="","",VLOOKUP(F10,Tabelle1!$A$2:$L$496,12,0))</f>
        <v/>
      </c>
      <c r="R10" s="149" t="s">
        <v>17</v>
      </c>
      <c r="S10" s="149"/>
      <c r="T10" s="64">
        <f>SUMIFS($O$4:$O$265,$M$4:$M$265,"0",$D$4:$D$265,R10)</f>
        <v>0</v>
      </c>
      <c r="U10" s="64">
        <f>SUMIFS($O$4:$O$265,$M$4:$M$265,"1",$D$4:$D$265,R10)</f>
        <v>0</v>
      </c>
      <c r="V10" s="14"/>
    </row>
    <row r="11" spans="1:23">
      <c r="A11" s="67"/>
      <c r="B11" s="55" t="s">
        <v>361</v>
      </c>
      <c r="C11" s="55">
        <v>13</v>
      </c>
      <c r="D11" s="56" t="str">
        <f>IF(K11="","",VLOOKUP(F11,Tabelle1!$A$2:$C$496,3,0))</f>
        <v/>
      </c>
      <c r="E11" s="57" t="str">
        <f>IF(K11="","",VLOOKUP(F11,Tabelle1!$A$2:$M$496,13,0))</f>
        <v/>
      </c>
      <c r="F11" s="119"/>
      <c r="G11" s="57"/>
      <c r="H11" s="57"/>
      <c r="I11" s="57"/>
      <c r="J11" s="57"/>
      <c r="K11" s="57"/>
      <c r="L11" s="57" t="str">
        <f>IF(K11="","",VLOOKUP(F11,Tabelle1!$A$2:$I$496,9,0))</f>
        <v/>
      </c>
      <c r="M11" s="57" t="str">
        <f>IF(K11="","",VLOOKUP(F11,Tabelle1!$A$2:$G$496,7,0))</f>
        <v/>
      </c>
      <c r="N11" s="66" t="str">
        <f t="shared" si="3"/>
        <v/>
      </c>
      <c r="O11" s="66" t="str">
        <f>IF(K11="","",((K11*VLOOKUP(F11,Tabelle1!$A$2:$I$496,8,0))/$W$4))</f>
        <v/>
      </c>
      <c r="P11" s="76" t="str">
        <f>IF(K11="","",VLOOKUP(F11,Tabelle1!$A$2:$L$496,12,0))</f>
        <v/>
      </c>
      <c r="R11" s="149" t="s">
        <v>19</v>
      </c>
      <c r="S11" s="149"/>
      <c r="T11" s="64">
        <f>SUM(T13:T16)</f>
        <v>0</v>
      </c>
      <c r="U11" s="64">
        <f>SUM(U13:U16)</f>
        <v>0</v>
      </c>
      <c r="V11" s="14"/>
    </row>
    <row r="12" spans="1:23">
      <c r="A12" s="67"/>
      <c r="B12" s="55" t="s">
        <v>361</v>
      </c>
      <c r="C12" s="55">
        <v>14</v>
      </c>
      <c r="D12" s="56" t="str">
        <f>IF(K12="","",VLOOKUP(F12,Tabelle1!$A$2:$C$496,3,0))</f>
        <v/>
      </c>
      <c r="E12" s="57" t="str">
        <f>IF(K12="","",VLOOKUP(F12,Tabelle1!$A$2:$M$496,13,0))</f>
        <v/>
      </c>
      <c r="F12" s="119"/>
      <c r="G12" s="57"/>
      <c r="H12" s="57"/>
      <c r="I12" s="57"/>
      <c r="J12" s="57"/>
      <c r="K12" s="57"/>
      <c r="L12" s="57" t="str">
        <f>IF(K12="","",VLOOKUP(F12,Tabelle1!$A$2:$I$496,9,0))</f>
        <v/>
      </c>
      <c r="M12" s="57" t="str">
        <f>IF(K12="","",VLOOKUP(F12,Tabelle1!$A$2:$G$496,7,0))</f>
        <v/>
      </c>
      <c r="N12" s="66" t="str">
        <f t="shared" si="3"/>
        <v/>
      </c>
      <c r="O12" s="66" t="str">
        <f>IF(K12="","",((K12*VLOOKUP(F12,Tabelle1!$A$2:$I$496,8,0))/$W$4))</f>
        <v/>
      </c>
      <c r="P12" s="76" t="str">
        <f>IF(K12="","",VLOOKUP(F12,Tabelle1!$A$2:$L$496,12,0))</f>
        <v/>
      </c>
      <c r="R12" s="148" t="s">
        <v>20</v>
      </c>
      <c r="S12" s="148"/>
      <c r="T12" s="65">
        <f>SUM(T8:T11)</f>
        <v>0</v>
      </c>
      <c r="U12" s="65">
        <f>SUM(U8:U11)</f>
        <v>0</v>
      </c>
      <c r="V12" s="65">
        <f>T12+U12</f>
        <v>0</v>
      </c>
    </row>
    <row r="13" spans="1:23">
      <c r="A13" s="67"/>
      <c r="B13" s="55" t="s">
        <v>361</v>
      </c>
      <c r="C13" s="55">
        <v>15</v>
      </c>
      <c r="D13" s="56" t="str">
        <f>IF(K13="","",VLOOKUP(F13,Tabelle1!$A$2:$C$496,3,0))</f>
        <v/>
      </c>
      <c r="E13" s="57" t="str">
        <f>IF(K13="","",VLOOKUP(F13,Tabelle1!$A$2:$M$496,13,0))</f>
        <v/>
      </c>
      <c r="F13" s="119"/>
      <c r="G13" s="57"/>
      <c r="H13" s="57"/>
      <c r="I13" s="57"/>
      <c r="J13" s="57"/>
      <c r="K13" s="57"/>
      <c r="L13" s="57" t="str">
        <f>IF(K13="","",VLOOKUP(F13,Tabelle1!$A$2:$I$496,9,0))</f>
        <v/>
      </c>
      <c r="M13" s="57" t="str">
        <f>IF(K13="","",VLOOKUP(F13,Tabelle1!$A$2:$G$496,7,0))</f>
        <v/>
      </c>
      <c r="N13" s="66" t="str">
        <f t="shared" si="3"/>
        <v/>
      </c>
      <c r="O13" s="66" t="str">
        <f>IF(K13="","",((K13*VLOOKUP(F13,Tabelle1!$A$2:$I$496,8,0))/$W$4))</f>
        <v/>
      </c>
      <c r="P13" s="76" t="str">
        <f>IF(K13="","",VLOOKUP(F13,Tabelle1!$A$2:$L$496,12,0))</f>
        <v/>
      </c>
      <c r="R13" s="149" t="s">
        <v>22</v>
      </c>
      <c r="S13" s="149"/>
      <c r="T13" s="64">
        <f>SUMIFS($O$4:$O$265,$M$4:$M$265,"0",$D$4:$D$265,R13)</f>
        <v>0</v>
      </c>
      <c r="U13" s="64">
        <f>SUMIFS($O$4:$O$265,$M$4:$M$265,"1",$D$4:$D$265,R13)</f>
        <v>0</v>
      </c>
      <c r="V13" s="14"/>
    </row>
    <row r="14" spans="1:23">
      <c r="A14" s="67"/>
      <c r="B14" s="55" t="s">
        <v>361</v>
      </c>
      <c r="C14" s="55">
        <v>16</v>
      </c>
      <c r="D14" s="56" t="str">
        <f>IF(K14="","",VLOOKUP(F14,Tabelle1!$A$2:$C$496,3,0))</f>
        <v/>
      </c>
      <c r="E14" s="57" t="str">
        <f>IF(K14="","",VLOOKUP(F14,Tabelle1!$A$2:$M$496,13,0))</f>
        <v/>
      </c>
      <c r="F14" s="119"/>
      <c r="G14" s="57"/>
      <c r="H14" s="57"/>
      <c r="I14" s="57"/>
      <c r="J14" s="57"/>
      <c r="K14" s="57"/>
      <c r="L14" s="57" t="str">
        <f>IF(K14="","",VLOOKUP(F14,Tabelle1!$A$2:$I$496,9,0))</f>
        <v/>
      </c>
      <c r="M14" s="57" t="str">
        <f>IF(K14="","",VLOOKUP(F14,Tabelle1!$A$2:$G$496,7,0))</f>
        <v/>
      </c>
      <c r="N14" s="66" t="str">
        <f t="shared" si="3"/>
        <v/>
      </c>
      <c r="O14" s="66" t="str">
        <f>IF(K14="","",((K14*VLOOKUP(F14,Tabelle1!$A$2:$I$496,8,0))/$W$4))</f>
        <v/>
      </c>
      <c r="P14" s="76" t="str">
        <f>IF(K14="","",VLOOKUP(F14,Tabelle1!$A$2:$L$496,12,0))</f>
        <v/>
      </c>
      <c r="R14" s="149" t="s">
        <v>23</v>
      </c>
      <c r="S14" s="149"/>
      <c r="T14" s="64">
        <f>SUMIFS($O$4:$O$265,$M$4:$M$265,"0",$D$4:$D$265,R14)</f>
        <v>0</v>
      </c>
      <c r="U14" s="64">
        <f>SUMIFS($O$4:$O$265,$M$4:$M$265,"1",$D$4:$D$265,R14)</f>
        <v>0</v>
      </c>
      <c r="V14" s="14"/>
    </row>
    <row r="15" spans="1:23">
      <c r="A15" s="67"/>
      <c r="B15" s="55" t="s">
        <v>361</v>
      </c>
      <c r="C15" s="55">
        <v>17</v>
      </c>
      <c r="D15" s="56" t="str">
        <f>IF(K15="","",VLOOKUP(F15,Tabelle1!$A$2:$C$496,3,0))</f>
        <v/>
      </c>
      <c r="E15" s="57" t="str">
        <f>IF(K15="","",VLOOKUP(F15,Tabelle1!$A$2:$M$496,13,0))</f>
        <v/>
      </c>
      <c r="F15" s="119"/>
      <c r="G15" s="57"/>
      <c r="H15" s="57"/>
      <c r="I15" s="57"/>
      <c r="J15" s="57"/>
      <c r="K15" s="57"/>
      <c r="L15" s="57" t="str">
        <f>IF(K15="","",VLOOKUP(F15,Tabelle1!$A$2:$I$496,9,0))</f>
        <v/>
      </c>
      <c r="M15" s="57" t="str">
        <f>IF(K15="","",VLOOKUP(F15,Tabelle1!$A$2:$G$496,7,0))</f>
        <v/>
      </c>
      <c r="N15" s="66" t="str">
        <f t="shared" si="3"/>
        <v/>
      </c>
      <c r="O15" s="66" t="str">
        <f>IF(K15="","",((K15*VLOOKUP(F15,Tabelle1!$A$2:$I$496,8,0))/$W$4))</f>
        <v/>
      </c>
      <c r="P15" s="76" t="str">
        <f>IF(K15="","",VLOOKUP(F15,Tabelle1!$A$2:$L$496,12,0))</f>
        <v/>
      </c>
      <c r="R15" s="149" t="s">
        <v>24</v>
      </c>
      <c r="S15" s="149"/>
      <c r="T15" s="64">
        <f>SUMIFS($O$4:$O$265,$M$4:$M$265,"0",$D$4:$D$265,R15)</f>
        <v>0</v>
      </c>
      <c r="U15" s="64">
        <f>SUMIFS($O$4:$O$265,$M$4:$M$265,"1",$D$4:$D$265,R15)</f>
        <v>0</v>
      </c>
      <c r="V15" s="14"/>
    </row>
    <row r="16" spans="1:23">
      <c r="A16" s="67"/>
      <c r="B16" s="55" t="s">
        <v>361</v>
      </c>
      <c r="C16" s="55">
        <v>18</v>
      </c>
      <c r="D16" s="56" t="str">
        <f>IF(K16="","",VLOOKUP(F16,Tabelle1!$A$2:$C$496,3,0))</f>
        <v/>
      </c>
      <c r="E16" s="57" t="str">
        <f>IF(K16="","",VLOOKUP(F16,Tabelle1!$A$2:$M$496,13,0))</f>
        <v/>
      </c>
      <c r="F16" s="36"/>
      <c r="G16" s="57"/>
      <c r="H16" s="57"/>
      <c r="I16" s="57"/>
      <c r="J16" s="57"/>
      <c r="K16" s="57"/>
      <c r="L16" s="57" t="str">
        <f>IF(K16="","",VLOOKUP(F16,Tabelle1!$A$2:$I$496,9,0))</f>
        <v/>
      </c>
      <c r="M16" s="57" t="str">
        <f>IF(K16="","",VLOOKUP(F16,Tabelle1!$A$2:$G$496,7,0))</f>
        <v/>
      </c>
      <c r="N16" s="66" t="str">
        <f t="shared" si="3"/>
        <v/>
      </c>
      <c r="O16" s="66" t="str">
        <f>IF(K16="","",((K16*VLOOKUP(F16,Tabelle1!$A$2:$I$496,8,0))/$W$4))</f>
        <v/>
      </c>
      <c r="P16" s="76" t="str">
        <f>IF(K16="","",VLOOKUP(F16,Tabelle1!$A$2:$L$496,12,0))</f>
        <v/>
      </c>
      <c r="R16" s="149" t="s">
        <v>26</v>
      </c>
      <c r="S16" s="149"/>
      <c r="T16" s="64">
        <f>SUMIFS($O$4:$O$265,$M$4:$M$265,"0",$D$4:$D$265,R16)</f>
        <v>0</v>
      </c>
      <c r="U16" s="64">
        <f>SUMIFS($O$4:$O$265,$M$4:$M$265,"1",$D$4:$D$265,R16)</f>
        <v>0</v>
      </c>
      <c r="V16" s="14"/>
    </row>
    <row r="17" spans="1:22">
      <c r="A17" s="67"/>
      <c r="B17" s="55" t="s">
        <v>361</v>
      </c>
      <c r="C17" s="55">
        <v>19</v>
      </c>
      <c r="D17" s="56" t="str">
        <f>IF(K17="","",VLOOKUP(F17,Tabelle1!$A$2:$C$496,3,0))</f>
        <v/>
      </c>
      <c r="E17" s="57" t="str">
        <f>IF(K17="","",VLOOKUP(F17,Tabelle1!$A$2:$M$496,13,0))</f>
        <v/>
      </c>
      <c r="F17" s="119"/>
      <c r="G17" s="57"/>
      <c r="H17" s="57"/>
      <c r="I17" s="57"/>
      <c r="J17" s="57"/>
      <c r="K17" s="57"/>
      <c r="L17" s="57" t="str">
        <f>IF(K17="","",VLOOKUP(F17,Tabelle1!$A$2:$I$496,9,0))</f>
        <v/>
      </c>
      <c r="M17" s="57" t="str">
        <f>IF(K17="","",VLOOKUP(F17,Tabelle1!$A$2:$G$496,7,0))</f>
        <v/>
      </c>
      <c r="N17" s="66" t="str">
        <f t="shared" si="3"/>
        <v/>
      </c>
      <c r="O17" s="66" t="str">
        <f>IF(K17="","",((K17*VLOOKUP(F17,Tabelle1!$A$2:$I$496,8,0))/$W$4))</f>
        <v/>
      </c>
      <c r="P17" s="76" t="str">
        <f>IF(K17="","",VLOOKUP(F17,Tabelle1!$A$2:$L$496,12,0))</f>
        <v/>
      </c>
      <c r="R17" s="64"/>
      <c r="S17" s="64"/>
      <c r="T17" s="64"/>
      <c r="U17" s="64"/>
      <c r="V17" s="14"/>
    </row>
    <row r="18" spans="1:22">
      <c r="A18" s="67"/>
      <c r="B18" s="55" t="s">
        <v>361</v>
      </c>
      <c r="C18" s="55">
        <v>20</v>
      </c>
      <c r="D18" s="56" t="str">
        <f>IF(K18="","",VLOOKUP(F18,Tabelle1!$A$2:$C$496,3,0))</f>
        <v/>
      </c>
      <c r="E18" s="57" t="str">
        <f>IF(K18="","",VLOOKUP(F18,Tabelle1!$A$2:$M$496,13,0))</f>
        <v/>
      </c>
      <c r="F18" s="119"/>
      <c r="G18" s="57"/>
      <c r="H18" s="57"/>
      <c r="I18" s="57"/>
      <c r="J18" s="57"/>
      <c r="K18" s="57"/>
      <c r="L18" s="57" t="str">
        <f>IF(K18="","",VLOOKUP(F18,Tabelle1!$A$2:$I$496,9,0))</f>
        <v/>
      </c>
      <c r="M18" s="57" t="str">
        <f>IF(K18="","",VLOOKUP(F18,Tabelle1!$A$2:$G$496,7,0))</f>
        <v/>
      </c>
      <c r="N18" s="66" t="str">
        <f t="shared" si="3"/>
        <v/>
      </c>
      <c r="O18" s="66" t="str">
        <f>IF(K18="","",((K18*VLOOKUP(F18,Tabelle1!$A$2:$I$496,8,0))/$W$4))</f>
        <v/>
      </c>
      <c r="P18" s="76" t="str">
        <f>IF(K18="","",VLOOKUP(F18,Tabelle1!$A$2:$L$496,12,0))</f>
        <v/>
      </c>
      <c r="V18" s="14"/>
    </row>
    <row r="19" spans="1:22">
      <c r="A19" s="67"/>
      <c r="B19" s="55" t="s">
        <v>361</v>
      </c>
      <c r="C19" s="55">
        <v>21</v>
      </c>
      <c r="D19" s="56" t="str">
        <f>IF(K19="","",VLOOKUP(F19,Tabelle1!$A$2:$C$496,3,0))</f>
        <v/>
      </c>
      <c r="E19" s="57" t="str">
        <f>IF(K19="","",VLOOKUP(F19,Tabelle1!$A$2:$M$496,13,0))</f>
        <v/>
      </c>
      <c r="F19" s="119"/>
      <c r="G19" s="57"/>
      <c r="H19" s="57"/>
      <c r="I19" s="57"/>
      <c r="J19" s="57"/>
      <c r="K19" s="57"/>
      <c r="L19" s="57" t="str">
        <f>IF(K19="","",VLOOKUP(F19,Tabelle1!$A$2:$I$496,9,0))</f>
        <v/>
      </c>
      <c r="M19" s="57" t="str">
        <f>IF(K19="","",VLOOKUP(F19,Tabelle1!$A$2:$G$496,7,0))</f>
        <v/>
      </c>
      <c r="N19" s="66" t="str">
        <f t="shared" si="3"/>
        <v/>
      </c>
      <c r="O19" s="66" t="str">
        <f>IF(K19="","",((K19*VLOOKUP(F19,Tabelle1!$A$2:$I$496,8,0))/$W$4))</f>
        <v/>
      </c>
      <c r="P19" s="76" t="str">
        <f>IF(K19="","",VLOOKUP(F19,Tabelle1!$A$2:$L$496,12,0))</f>
        <v/>
      </c>
    </row>
    <row r="20" spans="1:22">
      <c r="A20" s="67"/>
      <c r="B20" s="55" t="s">
        <v>361</v>
      </c>
      <c r="C20" s="55">
        <v>22</v>
      </c>
      <c r="D20" s="56" t="str">
        <f>IF(K20="","",VLOOKUP(F20,Tabelle1!$A$2:$C$496,3,0))</f>
        <v/>
      </c>
      <c r="E20" s="57" t="str">
        <f>IF(K20="","",VLOOKUP(F20,Tabelle1!$A$2:$M$496,13,0))</f>
        <v/>
      </c>
      <c r="F20" s="119"/>
      <c r="G20" s="57"/>
      <c r="H20" s="57"/>
      <c r="I20" s="57"/>
      <c r="J20" s="57"/>
      <c r="K20" s="57"/>
      <c r="L20" s="57" t="str">
        <f>IF(K20="","",VLOOKUP(F20,Tabelle1!$A$2:$I$496,9,0))</f>
        <v/>
      </c>
      <c r="M20" s="57" t="str">
        <f>IF(K20="","",VLOOKUP(F20,Tabelle1!$A$2:$G$496,7,0))</f>
        <v/>
      </c>
      <c r="N20" s="66" t="str">
        <f t="shared" si="3"/>
        <v/>
      </c>
      <c r="O20" s="66" t="str">
        <f>IF(K20="","",((K20*VLOOKUP(F20,Tabelle1!$A$2:$I$496,8,0))/$W$4))</f>
        <v/>
      </c>
      <c r="P20" s="76" t="str">
        <f>IF(K20="","",VLOOKUP(F20,Tabelle1!$A$2:$L$496,12,0))</f>
        <v/>
      </c>
      <c r="Q20" s="121">
        <f>SUM(O4:O12)</f>
        <v>0</v>
      </c>
    </row>
    <row r="21" spans="1:22">
      <c r="A21" s="67"/>
      <c r="B21" s="55" t="s">
        <v>361</v>
      </c>
      <c r="C21" s="55">
        <v>23</v>
      </c>
      <c r="D21" s="56" t="str">
        <f>IF(K21="","",VLOOKUP(F21,Tabelle1!$A$2:$C$496,3,0))</f>
        <v/>
      </c>
      <c r="E21" s="57" t="str">
        <f>IF(K21="","",VLOOKUP(F21,Tabelle1!$A$2:$M$496,13,0))</f>
        <v/>
      </c>
      <c r="F21" s="119"/>
      <c r="G21" s="57"/>
      <c r="H21" s="57"/>
      <c r="I21" s="57"/>
      <c r="J21" s="57"/>
      <c r="K21" s="57"/>
      <c r="L21" s="57" t="str">
        <f>IF(K21="","",VLOOKUP(F21,Tabelle1!$A$2:$I$496,9,0))</f>
        <v/>
      </c>
      <c r="M21" s="57" t="str">
        <f>IF(K21="","",VLOOKUP(F21,Tabelle1!$A$2:$G$496,7,0))</f>
        <v/>
      </c>
      <c r="N21" s="66" t="str">
        <f t="shared" si="3"/>
        <v/>
      </c>
      <c r="O21" s="66" t="str">
        <f>IF(K21="","",((K21*VLOOKUP(F21,Tabelle1!$A$2:$I$496,8,0))/$W$4))</f>
        <v/>
      </c>
      <c r="P21" s="76" t="str">
        <f>IF(K21="","",VLOOKUP(F21,Tabelle1!$A$2:$L$496,12,0))</f>
        <v/>
      </c>
    </row>
    <row r="22" spans="1:22">
      <c r="A22" s="67"/>
      <c r="B22" s="55" t="s">
        <v>361</v>
      </c>
      <c r="C22" s="55">
        <v>24</v>
      </c>
      <c r="D22" s="56" t="str">
        <f>IF(K22="","",VLOOKUP(F22,Tabelle1!$A$2:$C$496,3,0))</f>
        <v/>
      </c>
      <c r="E22" s="57" t="str">
        <f>IF(K22="","",VLOOKUP(F22,Tabelle1!$A$2:$M$496,13,0))</f>
        <v/>
      </c>
      <c r="F22" s="119"/>
      <c r="G22" s="57"/>
      <c r="H22" s="57"/>
      <c r="I22" s="57"/>
      <c r="J22" s="57"/>
      <c r="K22" s="57"/>
      <c r="L22" s="57" t="str">
        <f>IF(K22="","",VLOOKUP(F22,Tabelle1!$A$2:$I$496,9,0))</f>
        <v/>
      </c>
      <c r="M22" s="57" t="str">
        <f>IF(K22="","",VLOOKUP(F22,Tabelle1!$A$2:$G$496,7,0))</f>
        <v/>
      </c>
      <c r="N22" s="66" t="str">
        <f t="shared" si="3"/>
        <v/>
      </c>
      <c r="O22" s="66" t="str">
        <f>IF(K22="","",((K22*VLOOKUP(F22,Tabelle1!$A$2:$I$496,8,0))/$W$4))</f>
        <v/>
      </c>
      <c r="P22" s="76" t="str">
        <f>IF(K22="","",VLOOKUP(F22,Tabelle1!$A$2:$L$496,12,0))</f>
        <v/>
      </c>
    </row>
    <row r="23" spans="1:22">
      <c r="A23" s="67"/>
      <c r="B23" s="55" t="s">
        <v>361</v>
      </c>
      <c r="C23" s="55">
        <v>25</v>
      </c>
      <c r="D23" s="56" t="str">
        <f>IF(K23="","",VLOOKUP(F23,Tabelle1!$A$2:$C$496,3,0))</f>
        <v/>
      </c>
      <c r="E23" s="57" t="str">
        <f>IF(K23="","",VLOOKUP(F23,Tabelle1!$A$2:$M$496,13,0))</f>
        <v/>
      </c>
      <c r="F23" s="119"/>
      <c r="G23" s="57"/>
      <c r="H23" s="57"/>
      <c r="I23" s="57"/>
      <c r="J23" s="57"/>
      <c r="K23" s="57"/>
      <c r="L23" s="57" t="str">
        <f>IF(K23="","",VLOOKUP(F23,Tabelle1!$A$2:$I$496,9,0))</f>
        <v/>
      </c>
      <c r="M23" s="57" t="str">
        <f>IF(K23="","",VLOOKUP(F23,Tabelle1!$A$2:$G$496,7,0))</f>
        <v/>
      </c>
      <c r="N23" s="66" t="str">
        <f t="shared" si="3"/>
        <v/>
      </c>
      <c r="O23" s="66" t="str">
        <f>IF(K23="","",((K23*VLOOKUP(F23,Tabelle1!$A$2:$I$496,8,0))/$W$4))</f>
        <v/>
      </c>
      <c r="P23" s="76" t="str">
        <f>IF(K23="","",VLOOKUP(F23,Tabelle1!$A$2:$L$496,12,0))</f>
        <v/>
      </c>
    </row>
    <row r="24" spans="1:22">
      <c r="A24" s="67"/>
      <c r="B24" s="55" t="s">
        <v>361</v>
      </c>
      <c r="C24" s="55">
        <v>26</v>
      </c>
      <c r="D24" s="56" t="str">
        <f>IF(K24="","",VLOOKUP(F24,Tabelle1!$A$2:$C$496,3,0))</f>
        <v/>
      </c>
      <c r="E24" s="57" t="str">
        <f>IF(K24="","",VLOOKUP(F24,Tabelle1!$A$2:$M$496,13,0))</f>
        <v/>
      </c>
      <c r="F24" s="36"/>
      <c r="G24" s="57"/>
      <c r="H24" s="57"/>
      <c r="I24" s="57"/>
      <c r="J24" s="57"/>
      <c r="K24" s="57"/>
      <c r="L24" s="57" t="str">
        <f>IF(K24="","",VLOOKUP(F24,Tabelle1!$A$2:$I$496,9,0))</f>
        <v/>
      </c>
      <c r="M24" s="57" t="str">
        <f>IF(K24="","",VLOOKUP(F24,Tabelle1!$A$2:$G$496,7,0))</f>
        <v/>
      </c>
      <c r="N24" s="66" t="str">
        <f t="shared" si="3"/>
        <v/>
      </c>
      <c r="O24" s="66" t="str">
        <f>IF(K24="","",((K24*VLOOKUP(F24,Tabelle1!$A$2:$I$496,8,0))/$W$4))</f>
        <v/>
      </c>
      <c r="P24" s="76" t="str">
        <f>IF(K24="","",VLOOKUP(F24,Tabelle1!$A$2:$L$496,12,0))</f>
        <v/>
      </c>
    </row>
    <row r="25" spans="1:22">
      <c r="A25" s="67"/>
      <c r="B25" s="55" t="s">
        <v>361</v>
      </c>
      <c r="C25" s="55">
        <v>27</v>
      </c>
      <c r="D25" s="56" t="str">
        <f>IF(K25="","",VLOOKUP(F25,Tabelle1!$A$2:$C$496,3,0))</f>
        <v/>
      </c>
      <c r="E25" s="57" t="str">
        <f>IF(K25="","",VLOOKUP(F25,Tabelle1!$A$2:$M$496,13,0))</f>
        <v/>
      </c>
      <c r="F25" s="119"/>
      <c r="G25" s="57"/>
      <c r="H25" s="57"/>
      <c r="I25" s="57"/>
      <c r="J25" s="57"/>
      <c r="K25" s="57"/>
      <c r="L25" s="57" t="str">
        <f>IF(K25="","",VLOOKUP(F25,Tabelle1!$A$2:$I$496,9,0))</f>
        <v/>
      </c>
      <c r="M25" s="57" t="str">
        <f>IF(K25="","",VLOOKUP(F25,Tabelle1!$A$2:$G$496,7,0))</f>
        <v/>
      </c>
      <c r="N25" s="66" t="str">
        <f t="shared" si="3"/>
        <v/>
      </c>
      <c r="O25" s="66" t="str">
        <f>IF(K25="","",((K25*VLOOKUP(F25,Tabelle1!$A$2:$I$496,8,0))/$W$4))</f>
        <v/>
      </c>
      <c r="P25" s="76" t="str">
        <f>IF(K25="","",VLOOKUP(F25,Tabelle1!$A$2:$L$496,12,0))</f>
        <v/>
      </c>
    </row>
    <row r="26" spans="1:22">
      <c r="A26" s="67"/>
      <c r="B26" s="55" t="s">
        <v>361</v>
      </c>
      <c r="C26" s="55">
        <v>28</v>
      </c>
      <c r="D26" s="56" t="str">
        <f>IF(K26="","",VLOOKUP(F26,Tabelle1!$A$2:$C$496,3,0))</f>
        <v/>
      </c>
      <c r="E26" s="57" t="str">
        <f>IF(K26="","",VLOOKUP(F26,Tabelle1!$A$2:$M$496,13,0))</f>
        <v/>
      </c>
      <c r="F26" s="119"/>
      <c r="G26" s="57"/>
      <c r="H26" s="57"/>
      <c r="I26" s="57"/>
      <c r="J26" s="57"/>
      <c r="K26" s="57"/>
      <c r="L26" s="57" t="str">
        <f>IF(K26="","",VLOOKUP(F26,Tabelle1!$A$2:$I$496,9,0))</f>
        <v/>
      </c>
      <c r="M26" s="57" t="str">
        <f>IF(K26="","",VLOOKUP(F26,Tabelle1!$A$2:$G$496,7,0))</f>
        <v/>
      </c>
      <c r="N26" s="66" t="str">
        <f t="shared" si="3"/>
        <v/>
      </c>
      <c r="O26" s="66" t="str">
        <f>IF(K26="","",((K26*VLOOKUP(F26,Tabelle1!$A$2:$I$496,8,0))/$W$4))</f>
        <v/>
      </c>
      <c r="P26" s="76" t="str">
        <f>IF(K26="","",VLOOKUP(F26,Tabelle1!$A$2:$L$496,12,0))</f>
        <v/>
      </c>
    </row>
    <row r="27" spans="1:22">
      <c r="A27" s="67"/>
      <c r="B27" s="55" t="s">
        <v>361</v>
      </c>
      <c r="C27" s="55">
        <v>29</v>
      </c>
      <c r="D27" s="56" t="str">
        <f>IF(K27="","",VLOOKUP(F27,Tabelle1!$A$2:$C$496,3,0))</f>
        <v/>
      </c>
      <c r="E27" s="57" t="str">
        <f>IF(K27="","",VLOOKUP(F27,Tabelle1!$A$2:$M$496,13,0))</f>
        <v/>
      </c>
      <c r="F27" s="119"/>
      <c r="G27" s="57"/>
      <c r="H27" s="57"/>
      <c r="I27" s="57"/>
      <c r="J27" s="57"/>
      <c r="K27" s="57"/>
      <c r="L27" s="57" t="str">
        <f>IF(K27="","",VLOOKUP(F27,Tabelle1!$A$2:$I$496,9,0))</f>
        <v/>
      </c>
      <c r="M27" s="57" t="str">
        <f>IF(K27="","",VLOOKUP(F27,Tabelle1!$A$2:$G$496,7,0))</f>
        <v/>
      </c>
      <c r="N27" s="66" t="str">
        <f t="shared" si="3"/>
        <v/>
      </c>
      <c r="O27" s="66" t="str">
        <f>IF(K27="","",((K27*VLOOKUP(F27,Tabelle1!$A$2:$I$496,8,0))/$W$4))</f>
        <v/>
      </c>
      <c r="P27" s="76" t="str">
        <f>IF(K27="","",VLOOKUP(F27,Tabelle1!$A$2:$L$496,12,0))</f>
        <v/>
      </c>
    </row>
    <row r="28" spans="1:22">
      <c r="A28" s="67"/>
      <c r="B28" s="55" t="s">
        <v>361</v>
      </c>
      <c r="C28" s="55">
        <v>30</v>
      </c>
      <c r="D28" s="56" t="str">
        <f>IF(K28="","",VLOOKUP(F28,Tabelle1!$A$2:$C$496,3,0))</f>
        <v/>
      </c>
      <c r="E28" s="57" t="str">
        <f>IF(K28="","",VLOOKUP(F28,Tabelle1!$A$2:$M$496,13,0))</f>
        <v/>
      </c>
      <c r="F28" s="119"/>
      <c r="G28" s="57"/>
      <c r="H28" s="57"/>
      <c r="I28" s="57"/>
      <c r="J28" s="57"/>
      <c r="K28" s="57"/>
      <c r="L28" s="57" t="str">
        <f>IF(K28="","",VLOOKUP(F28,Tabelle1!$A$2:$I$496,9,0))</f>
        <v/>
      </c>
      <c r="M28" s="57" t="str">
        <f>IF(K28="","",VLOOKUP(F28,Tabelle1!$A$2:$G$496,7,0))</f>
        <v/>
      </c>
      <c r="N28" s="66" t="str">
        <f t="shared" si="3"/>
        <v/>
      </c>
      <c r="O28" s="66" t="str">
        <f>IF(K28="","",((K28*VLOOKUP(F28,Tabelle1!$A$2:$I$496,8,0))/$W$4))</f>
        <v/>
      </c>
      <c r="P28" s="76" t="str">
        <f>IF(K28="","",VLOOKUP(F28,Tabelle1!$A$2:$L$496,12,0))</f>
        <v/>
      </c>
    </row>
    <row r="29" spans="1:22">
      <c r="A29" s="67"/>
      <c r="B29" s="55" t="s">
        <v>361</v>
      </c>
      <c r="C29" s="55">
        <v>31</v>
      </c>
      <c r="D29" s="56" t="str">
        <f>IF(K29="","",VLOOKUP(F29,Tabelle1!$A$2:$C$496,3,0))</f>
        <v/>
      </c>
      <c r="E29" s="57" t="str">
        <f>IF(K29="","",VLOOKUP(F29,Tabelle1!$A$2:$M$496,13,0))</f>
        <v/>
      </c>
      <c r="F29" s="119"/>
      <c r="G29" s="57"/>
      <c r="H29" s="57"/>
      <c r="I29" s="57"/>
      <c r="J29" s="57"/>
      <c r="K29" s="57"/>
      <c r="L29" s="57" t="str">
        <f>IF(K29="","",VLOOKUP(F29,Tabelle1!$A$2:$I$496,9,0))</f>
        <v/>
      </c>
      <c r="M29" s="57" t="str">
        <f>IF(K29="","",VLOOKUP(F29,Tabelle1!$A$2:$G$496,7,0))</f>
        <v/>
      </c>
      <c r="N29" s="66" t="str">
        <f t="shared" si="3"/>
        <v/>
      </c>
      <c r="O29" s="66" t="str">
        <f>IF(K29="","",((K29*VLOOKUP(F29,Tabelle1!$A$2:$I$496,8,0))/$W$4))</f>
        <v/>
      </c>
      <c r="P29" s="76" t="str">
        <f>IF(K29="","",VLOOKUP(F29,Tabelle1!$A$2:$L$496,12,0))</f>
        <v/>
      </c>
    </row>
    <row r="30" spans="1:22">
      <c r="A30" s="67"/>
      <c r="B30" s="55" t="s">
        <v>361</v>
      </c>
      <c r="C30" s="55">
        <v>32</v>
      </c>
      <c r="D30" s="56" t="str">
        <f>IF(K30="","",VLOOKUP(F30,Tabelle1!$A$2:$C$496,3,0))</f>
        <v/>
      </c>
      <c r="E30" s="57" t="str">
        <f>IF(K30="","",VLOOKUP(F30,Tabelle1!$A$2:$M$496,13,0))</f>
        <v/>
      </c>
      <c r="F30" s="119"/>
      <c r="G30" s="57"/>
      <c r="H30" s="57"/>
      <c r="I30" s="57"/>
      <c r="J30" s="57"/>
      <c r="K30" s="57"/>
      <c r="L30" s="57" t="str">
        <f>IF(K30="","",VLOOKUP(F30,Tabelle1!$A$2:$I$496,9,0))</f>
        <v/>
      </c>
      <c r="M30" s="57" t="str">
        <f>IF(K30="","",VLOOKUP(F30,Tabelle1!$A$2:$G$496,7,0))</f>
        <v/>
      </c>
      <c r="N30" s="66" t="str">
        <f t="shared" si="3"/>
        <v/>
      </c>
      <c r="O30" s="66" t="str">
        <f>IF(K30="","",((K30*VLOOKUP(F30,Tabelle1!$A$2:$I$496,8,0))/$W$4))</f>
        <v/>
      </c>
      <c r="P30" s="76" t="str">
        <f>IF(K30="","",VLOOKUP(F30,Tabelle1!$A$2:$L$496,12,0))</f>
        <v/>
      </c>
    </row>
    <row r="31" spans="1:22">
      <c r="A31" s="67"/>
      <c r="B31" s="55" t="s">
        <v>361</v>
      </c>
      <c r="C31" s="55">
        <v>33</v>
      </c>
      <c r="D31" s="56" t="str">
        <f>IF(K31="","",VLOOKUP(F31,Tabelle1!$A$2:$C$496,3,0))</f>
        <v/>
      </c>
      <c r="E31" s="57" t="str">
        <f>IF(K31="","",VLOOKUP(F31,Tabelle1!$A$2:$M$496,13,0))</f>
        <v/>
      </c>
      <c r="F31" s="36"/>
      <c r="G31" s="57"/>
      <c r="H31" s="57"/>
      <c r="I31" s="57"/>
      <c r="J31" s="57"/>
      <c r="K31" s="57"/>
      <c r="L31" s="57" t="str">
        <f>IF(K31="","",VLOOKUP(F31,Tabelle1!$A$2:$I$496,9,0))</f>
        <v/>
      </c>
      <c r="M31" s="57" t="str">
        <f>IF(K31="","",VLOOKUP(F31,Tabelle1!$A$2:$G$496,7,0))</f>
        <v/>
      </c>
      <c r="N31" s="66" t="str">
        <f t="shared" si="3"/>
        <v/>
      </c>
      <c r="O31" s="66" t="str">
        <f>IF(K31="","",((K31*VLOOKUP(F31,Tabelle1!$A$2:$I$496,8,0))/$W$4))</f>
        <v/>
      </c>
      <c r="P31" s="76" t="str">
        <f>IF(K31="","",VLOOKUP(F31,Tabelle1!$A$2:$L$496,12,0))</f>
        <v/>
      </c>
    </row>
    <row r="32" spans="1:22">
      <c r="A32" s="67"/>
      <c r="B32" s="55" t="s">
        <v>361</v>
      </c>
      <c r="C32" s="55">
        <v>34</v>
      </c>
      <c r="D32" s="56" t="str">
        <f>IF(K32="","",VLOOKUP(F32,Tabelle1!$A$2:$C$496,3,0))</f>
        <v/>
      </c>
      <c r="E32" s="57" t="str">
        <f>IF(K32="","",VLOOKUP(F32,Tabelle1!$A$2:$M$496,13,0))</f>
        <v/>
      </c>
      <c r="F32" s="56"/>
      <c r="G32" s="57"/>
      <c r="H32" s="57"/>
      <c r="I32" s="57"/>
      <c r="J32" s="57"/>
      <c r="K32" s="57"/>
      <c r="L32" s="57" t="str">
        <f>IF(K32="","",VLOOKUP(F32,Tabelle1!$A$2:$I$496,9,0))</f>
        <v/>
      </c>
      <c r="M32" s="57" t="str">
        <f>IF(K32="","",VLOOKUP(F32,Tabelle1!$A$2:$G$496,7,0))</f>
        <v/>
      </c>
      <c r="N32" s="66" t="str">
        <f t="shared" si="3"/>
        <v/>
      </c>
      <c r="O32" s="66" t="str">
        <f>IF(K32="","",((K32*VLOOKUP(F32,Tabelle1!$A$2:$I$496,8,0))/$W$4))</f>
        <v/>
      </c>
      <c r="P32" s="76" t="str">
        <f>IF(K32="","",VLOOKUP(F32,Tabelle1!$A$2:$L$496,12,0))</f>
        <v/>
      </c>
    </row>
    <row r="33" spans="1:25">
      <c r="A33" s="67"/>
      <c r="B33" s="55" t="s">
        <v>361</v>
      </c>
      <c r="C33" s="55">
        <v>35</v>
      </c>
      <c r="D33" s="56" t="str">
        <f>IF(K33="","",VLOOKUP(F33,Tabelle1!$A$2:$C$496,3,0))</f>
        <v/>
      </c>
      <c r="E33" s="57" t="str">
        <f>IF(K33="","",VLOOKUP(F33,Tabelle1!$A$2:$M$496,13,0))</f>
        <v/>
      </c>
      <c r="F33" s="56"/>
      <c r="G33" s="57"/>
      <c r="H33" s="57"/>
      <c r="I33" s="57"/>
      <c r="J33" s="57"/>
      <c r="K33" s="57"/>
      <c r="L33" s="57" t="str">
        <f>IF(K33="","",VLOOKUP(F33,Tabelle1!$A$2:$I$496,9,0))</f>
        <v/>
      </c>
      <c r="M33" s="57" t="str">
        <f>IF(K33="","",VLOOKUP(F33,Tabelle1!$A$2:$G$496,7,0))</f>
        <v/>
      </c>
      <c r="N33" s="66" t="str">
        <f t="shared" si="3"/>
        <v/>
      </c>
      <c r="O33" s="66" t="str">
        <f>IF(K33="","",((K33*VLOOKUP(F33,Tabelle1!$A$2:$I$496,8,0))/$W$4))</f>
        <v/>
      </c>
      <c r="P33" s="76" t="str">
        <f>IF(K33="","",VLOOKUP(F33,Tabelle1!$A$2:$L$496,12,0))</f>
        <v/>
      </c>
    </row>
    <row r="34" spans="1:25">
      <c r="A34" s="67"/>
      <c r="B34" s="55" t="s">
        <v>361</v>
      </c>
      <c r="C34" s="55">
        <v>36</v>
      </c>
      <c r="D34" s="56" t="str">
        <f>IF(K34="","",VLOOKUP(F34,Tabelle1!$A$2:$C$496,3,0))</f>
        <v/>
      </c>
      <c r="E34" s="57" t="str">
        <f>IF(K34="","",VLOOKUP(F34,Tabelle1!$A$2:$M$496,13,0))</f>
        <v/>
      </c>
      <c r="F34" s="56"/>
      <c r="G34" s="57"/>
      <c r="H34" s="57"/>
      <c r="I34" s="57"/>
      <c r="J34" s="57"/>
      <c r="K34" s="57"/>
      <c r="L34" s="57" t="str">
        <f>IF(K34="","",VLOOKUP(F34,Tabelle1!$A$2:$I$496,9,0))</f>
        <v/>
      </c>
      <c r="M34" s="57" t="str">
        <f>IF(K34="","",VLOOKUP(F34,Tabelle1!$A$2:$G$496,7,0))</f>
        <v/>
      </c>
      <c r="N34" s="66" t="str">
        <f t="shared" si="3"/>
        <v/>
      </c>
      <c r="O34" s="66" t="str">
        <f>IF(K34="","",((K34*VLOOKUP(F34,Tabelle1!$A$2:$I$496,8,0))/$W$4))</f>
        <v/>
      </c>
      <c r="P34" s="76" t="str">
        <f>IF(K34="","",VLOOKUP(F34,Tabelle1!$A$2:$L$496,12,0))</f>
        <v/>
      </c>
    </row>
    <row r="35" spans="1:25">
      <c r="A35" s="67"/>
      <c r="B35" s="55" t="s">
        <v>361</v>
      </c>
      <c r="C35" s="55">
        <v>37</v>
      </c>
      <c r="D35" s="56" t="str">
        <f>IF(K35="","",VLOOKUP(F35,Tabelle1!$A$2:$C$496,3,0))</f>
        <v/>
      </c>
      <c r="E35" s="57" t="str">
        <f>IF(K35="","",VLOOKUP(F35,Tabelle1!$A$2:$M$496,13,0))</f>
        <v/>
      </c>
      <c r="F35" s="56"/>
      <c r="G35" s="57"/>
      <c r="H35" s="57"/>
      <c r="I35" s="57"/>
      <c r="J35" s="57"/>
      <c r="K35" s="57"/>
      <c r="L35" s="57" t="str">
        <f>IF(K35="","",VLOOKUP(F35,Tabelle1!$A$2:$I$496,9,0))</f>
        <v/>
      </c>
      <c r="M35" s="57" t="str">
        <f>IF(K35="","",VLOOKUP(F35,Tabelle1!$A$2:$G$496,7,0))</f>
        <v/>
      </c>
      <c r="N35" s="66" t="str">
        <f t="shared" si="3"/>
        <v/>
      </c>
      <c r="O35" s="66" t="str">
        <f>IF(K35="","",((K35*VLOOKUP(F35,Tabelle1!$A$2:$I$496,8,0))/$W$4))</f>
        <v/>
      </c>
      <c r="P35" s="76" t="str">
        <f>IF(K35="","",VLOOKUP(F35,Tabelle1!$A$2:$L$496,12,0))</f>
        <v/>
      </c>
    </row>
    <row r="36" spans="1:25">
      <c r="A36" s="67"/>
      <c r="B36" s="55" t="s">
        <v>361</v>
      </c>
      <c r="C36" s="55">
        <v>38</v>
      </c>
      <c r="D36" s="56" t="str">
        <f>IF(K36="","",VLOOKUP(F36,Tabelle1!$A$2:$C$496,3,0))</f>
        <v/>
      </c>
      <c r="E36" s="57" t="str">
        <f>IF(K36="","",VLOOKUP(F36,Tabelle1!$A$2:$M$496,13,0))</f>
        <v/>
      </c>
      <c r="F36" s="56"/>
      <c r="G36" s="57"/>
      <c r="H36" s="57"/>
      <c r="I36" s="57"/>
      <c r="J36" s="57"/>
      <c r="K36" s="57"/>
      <c r="L36" s="57" t="str">
        <f>IF(K36="","",VLOOKUP(F36,Tabelle1!$A$2:$I$496,9,0))</f>
        <v/>
      </c>
      <c r="M36" s="57" t="str">
        <f>IF(K36="","",VLOOKUP(F36,Tabelle1!$A$2:$G$496,7,0))</f>
        <v/>
      </c>
      <c r="N36" s="66" t="str">
        <f t="shared" si="3"/>
        <v/>
      </c>
      <c r="O36" s="66" t="str">
        <f>IF(K36="","",((K36*VLOOKUP(F36,Tabelle1!$A$2:$I$496,8,0))/$W$4))</f>
        <v/>
      </c>
      <c r="P36" s="76" t="str">
        <f>IF(K36="","",VLOOKUP(F36,Tabelle1!$A$2:$L$496,12,0))</f>
        <v/>
      </c>
    </row>
    <row r="37" spans="1:25">
      <c r="A37" s="67"/>
      <c r="B37" s="55" t="s">
        <v>361</v>
      </c>
      <c r="C37" s="55">
        <v>39</v>
      </c>
      <c r="D37" s="56" t="str">
        <f>IF(K37="","",VLOOKUP(F37,Tabelle1!$A$2:$C$496,3,0))</f>
        <v/>
      </c>
      <c r="E37" s="57" t="str">
        <f>IF(K37="","",VLOOKUP(F37,Tabelle1!$A$2:$M$496,13,0))</f>
        <v/>
      </c>
      <c r="F37" s="56"/>
      <c r="G37" s="57"/>
      <c r="H37" s="57"/>
      <c r="I37" s="57"/>
      <c r="J37" s="57"/>
      <c r="K37" s="57"/>
      <c r="L37" s="57" t="str">
        <f>IF(K37="","",VLOOKUP(F37,Tabelle1!$A$2:$I$496,9,0))</f>
        <v/>
      </c>
      <c r="M37" s="57" t="str">
        <f>IF(K37="","",VLOOKUP(F37,Tabelle1!$A$2:$G$496,7,0))</f>
        <v/>
      </c>
      <c r="N37" s="66" t="str">
        <f t="shared" si="3"/>
        <v/>
      </c>
      <c r="O37" s="66" t="str">
        <f>IF(K37="","",((K37*VLOOKUP(F37,Tabelle1!$A$2:$I$496,8,0))/$W$4))</f>
        <v/>
      </c>
      <c r="P37" s="76" t="str">
        <f>IF(K37="","",VLOOKUP(F37,Tabelle1!$A$2:$L$496,12,0))</f>
        <v/>
      </c>
    </row>
    <row r="38" spans="1:25">
      <c r="A38" s="67"/>
      <c r="B38" s="55" t="s">
        <v>361</v>
      </c>
      <c r="C38" s="55">
        <v>40</v>
      </c>
      <c r="D38" s="56" t="str">
        <f>IF(K38="","",VLOOKUP(F38,Tabelle1!$A$2:$C$496,3,0))</f>
        <v/>
      </c>
      <c r="E38" s="57" t="str">
        <f>IF(K38="","",VLOOKUP(F38,Tabelle1!$A$2:$M$496,13,0))</f>
        <v/>
      </c>
      <c r="F38" s="56"/>
      <c r="G38" s="57"/>
      <c r="H38" s="57"/>
      <c r="I38" s="57"/>
      <c r="J38" s="57"/>
      <c r="K38" s="57"/>
      <c r="L38" s="57" t="str">
        <f>IF(K38="","",VLOOKUP(F38,Tabelle1!$A$2:$I$496,9,0))</f>
        <v/>
      </c>
      <c r="M38" s="57" t="str">
        <f>IF(K38="","",VLOOKUP(F38,Tabelle1!$A$2:$G$496,7,0))</f>
        <v/>
      </c>
      <c r="N38" s="66" t="str">
        <f t="shared" si="3"/>
        <v/>
      </c>
      <c r="O38" s="66" t="str">
        <f>IF(K38="","",((K38*VLOOKUP(F38,Tabelle1!$A$2:$I$496,8,0))/$W$4))</f>
        <v/>
      </c>
      <c r="P38" s="76" t="str">
        <f>IF(K38="","",VLOOKUP(F38,Tabelle1!$A$2:$L$496,12,0))</f>
        <v/>
      </c>
    </row>
    <row r="39" spans="1:25">
      <c r="A39" s="67"/>
      <c r="B39" s="55" t="s">
        <v>361</v>
      </c>
      <c r="C39" s="55">
        <v>41</v>
      </c>
      <c r="D39" s="56" t="str">
        <f>IF(K39="","",VLOOKUP(F39,Tabelle1!$A$2:$C$496,3,0))</f>
        <v/>
      </c>
      <c r="E39" s="57" t="str">
        <f>IF(K39="","",VLOOKUP(F39,Tabelle1!$A$2:$M$496,13,0))</f>
        <v/>
      </c>
      <c r="F39" s="56"/>
      <c r="G39" s="57"/>
      <c r="H39" s="57"/>
      <c r="I39" s="57"/>
      <c r="J39" s="57"/>
      <c r="K39" s="57"/>
      <c r="L39" s="57" t="str">
        <f>IF(K39="","",VLOOKUP(F39,Tabelle1!$A$2:$I$496,9,0))</f>
        <v/>
      </c>
      <c r="M39" s="57" t="str">
        <f>IF(K39="","",VLOOKUP(F39,Tabelle1!$A$2:$G$496,7,0))</f>
        <v/>
      </c>
      <c r="N39" s="66" t="str">
        <f t="shared" si="3"/>
        <v/>
      </c>
      <c r="O39" s="66" t="str">
        <f>IF(K39="","",((K39*VLOOKUP(F39,Tabelle1!$A$2:$I$496,8,0))/$W$4))</f>
        <v/>
      </c>
      <c r="P39" s="76" t="str">
        <f>IF(K39="","",VLOOKUP(F39,Tabelle1!$A$2:$L$496,12,0))</f>
        <v/>
      </c>
    </row>
    <row r="40" spans="1:25">
      <c r="A40" s="67"/>
      <c r="B40" s="55" t="s">
        <v>361</v>
      </c>
      <c r="C40" s="55">
        <v>42</v>
      </c>
      <c r="D40" s="56" t="str">
        <f>IF(K40="","",VLOOKUP(F40,Tabelle1!$A$2:$C$496,3,0))</f>
        <v/>
      </c>
      <c r="E40" s="57" t="str">
        <f>IF(K40="","",VLOOKUP(F40,Tabelle1!$A$2:$M$496,13,0))</f>
        <v/>
      </c>
      <c r="F40" s="56"/>
      <c r="G40" s="57"/>
      <c r="H40" s="57"/>
      <c r="I40" s="57"/>
      <c r="J40" s="57"/>
      <c r="K40" s="57"/>
      <c r="L40" s="57" t="str">
        <f>IF(K40="","",VLOOKUP(F40,Tabelle1!$A$2:$I$496,9,0))</f>
        <v/>
      </c>
      <c r="M40" s="57" t="str">
        <f>IF(K40="","",VLOOKUP(F40,Tabelle1!$A$2:$G$496,7,0))</f>
        <v/>
      </c>
      <c r="N40" s="66" t="str">
        <f t="shared" si="3"/>
        <v/>
      </c>
      <c r="O40" s="66" t="str">
        <f>IF(K40="","",((K40*VLOOKUP(F40,Tabelle1!$A$2:$I$496,8,0))/$W$4))</f>
        <v/>
      </c>
      <c r="P40" s="76" t="str">
        <f>IF(K40="","",VLOOKUP(F40,Tabelle1!$A$2:$L$496,12,0))</f>
        <v/>
      </c>
    </row>
    <row r="41" spans="1:25">
      <c r="A41" s="67"/>
      <c r="B41" s="55" t="s">
        <v>361</v>
      </c>
      <c r="C41" s="55">
        <v>43</v>
      </c>
      <c r="D41" s="56" t="str">
        <f>IF(K41="","",VLOOKUP(F41,Tabelle1!$A$2:$C$496,3,0))</f>
        <v/>
      </c>
      <c r="E41" s="57" t="str">
        <f>IF(K41="","",VLOOKUP(F41,Tabelle1!$A$2:$M$496,13,0))</f>
        <v/>
      </c>
      <c r="F41" s="56"/>
      <c r="G41" s="57"/>
      <c r="H41" s="57"/>
      <c r="I41" s="57"/>
      <c r="J41" s="57"/>
      <c r="K41" s="57"/>
      <c r="L41" s="57" t="str">
        <f>IF(K41="","",VLOOKUP(F41,Tabelle1!$A$2:$I$496,9,0))</f>
        <v/>
      </c>
      <c r="M41" s="57" t="str">
        <f>IF(K41="","",VLOOKUP(F41,Tabelle1!$A$2:$G$496,7,0))</f>
        <v/>
      </c>
      <c r="N41" s="66" t="str">
        <f t="shared" si="3"/>
        <v/>
      </c>
      <c r="O41" s="66" t="str">
        <f>IF(K41="","",((K41*VLOOKUP(F41,Tabelle1!$A$2:$I$496,8,0))/$W$4))</f>
        <v/>
      </c>
      <c r="P41" s="76" t="str">
        <f>IF(K41="","",VLOOKUP(F41,Tabelle1!$A$2:$L$496,12,0))</f>
        <v/>
      </c>
    </row>
    <row r="42" spans="1:25" ht="18.5">
      <c r="A42" s="67"/>
      <c r="B42" s="55" t="s">
        <v>361</v>
      </c>
      <c r="C42" s="55">
        <v>44</v>
      </c>
      <c r="D42" s="56" t="str">
        <f>IF(K42="","",VLOOKUP(F42,Tabelle1!$A$2:$C$496,3,0))</f>
        <v/>
      </c>
      <c r="E42" s="57" t="str">
        <f>IF(K42="","",VLOOKUP(F42,Tabelle1!$A$2:$M$496,13,0))</f>
        <v/>
      </c>
      <c r="F42" s="56"/>
      <c r="G42" s="57"/>
      <c r="H42" s="57"/>
      <c r="I42" s="57"/>
      <c r="J42" s="57"/>
      <c r="K42" s="57"/>
      <c r="L42" s="57" t="str">
        <f>IF(K42="","",VLOOKUP(F42,Tabelle1!$A$2:$I$496,9,0))</f>
        <v/>
      </c>
      <c r="M42" s="57" t="str">
        <f>IF(K42="","",VLOOKUP(F42,Tabelle1!$A$2:$G$496,7,0))</f>
        <v/>
      </c>
      <c r="N42" s="66" t="str">
        <f t="shared" si="3"/>
        <v/>
      </c>
      <c r="O42" s="66" t="str">
        <f>IF(K42="","",((K42*VLOOKUP(F42,Tabelle1!$A$2:$I$496,8,0))/$W$4))</f>
        <v/>
      </c>
      <c r="P42" s="76" t="str">
        <f>IF(K42="","",VLOOKUP(F42,Tabelle1!$A$2:$L$496,12,0))</f>
        <v/>
      </c>
      <c r="R42" s="150" t="s">
        <v>393</v>
      </c>
      <c r="S42" s="150"/>
      <c r="T42" s="8"/>
      <c r="Y42" s="4"/>
    </row>
    <row r="43" spans="1:25" ht="18.5">
      <c r="A43" s="67"/>
      <c r="B43" s="55" t="s">
        <v>361</v>
      </c>
      <c r="C43" s="55">
        <v>45</v>
      </c>
      <c r="D43" s="56" t="str">
        <f>IF(K43="","",VLOOKUP(F43,Tabelle1!$A$2:$C$496,3,0))</f>
        <v/>
      </c>
      <c r="E43" s="57" t="str">
        <f>IF(K43="","",VLOOKUP(F43,Tabelle1!$A$2:$M$496,13,0))</f>
        <v/>
      </c>
      <c r="F43" s="56"/>
      <c r="G43" s="57"/>
      <c r="H43" s="57"/>
      <c r="I43" s="57"/>
      <c r="J43" s="57"/>
      <c r="K43" s="57"/>
      <c r="L43" s="57" t="str">
        <f>IF(K43="","",VLOOKUP(F43,Tabelle1!$A$2:$I$496,9,0))</f>
        <v/>
      </c>
      <c r="M43" s="57" t="str">
        <f>IF(K43="","",VLOOKUP(F43,Tabelle1!$A$2:$G$496,7,0))</f>
        <v/>
      </c>
      <c r="N43" s="66" t="str">
        <f t="shared" si="3"/>
        <v/>
      </c>
      <c r="O43" s="66" t="str">
        <f>IF(K43="","",((K43*VLOOKUP(F43,Tabelle1!$A$2:$I$496,8,0))/$W$4))</f>
        <v/>
      </c>
      <c r="P43" s="76" t="str">
        <f>IF(K43="","",VLOOKUP(F43,Tabelle1!$A$2:$L$496,12,0))</f>
        <v/>
      </c>
      <c r="R43" s="6"/>
      <c r="S43" s="5"/>
      <c r="T43" s="9"/>
      <c r="Y43" s="4"/>
    </row>
    <row r="44" spans="1:25">
      <c r="A44" s="67"/>
      <c r="B44" s="55" t="s">
        <v>361</v>
      </c>
      <c r="C44" s="55">
        <v>46</v>
      </c>
      <c r="D44" s="56" t="str">
        <f>IF(K44="","",VLOOKUP(F44,Tabelle1!$A$2:$C$496,3,0))</f>
        <v/>
      </c>
      <c r="E44" s="57" t="str">
        <f>IF(K44="","",VLOOKUP(F44,Tabelle1!$A$2:$M$496,13,0))</f>
        <v/>
      </c>
      <c r="F44" s="56"/>
      <c r="G44" s="57"/>
      <c r="H44" s="57"/>
      <c r="I44" s="57"/>
      <c r="J44" s="57"/>
      <c r="K44" s="57"/>
      <c r="L44" s="57" t="str">
        <f>IF(K44="","",VLOOKUP(F44,Tabelle1!$A$2:$I$496,9,0))</f>
        <v/>
      </c>
      <c r="M44" s="57" t="str">
        <f>IF(K44="","",VLOOKUP(F44,Tabelle1!$A$2:$G$496,7,0))</f>
        <v/>
      </c>
      <c r="N44" s="66" t="str">
        <f t="shared" si="3"/>
        <v/>
      </c>
      <c r="O44" s="66" t="str">
        <f>IF(K44="","",((K44*VLOOKUP(F44,Tabelle1!$A$2:$I$496,8,0))/$W$4))</f>
        <v/>
      </c>
      <c r="P44" s="76" t="str">
        <f>IF(K44="","",VLOOKUP(F44,Tabelle1!$A$2:$L$496,12,0))</f>
        <v/>
      </c>
      <c r="R44" s="3" t="s">
        <v>357</v>
      </c>
      <c r="S44" s="12" t="s">
        <v>358</v>
      </c>
      <c r="T44" s="7"/>
      <c r="U44" s="48" t="s">
        <v>8</v>
      </c>
    </row>
    <row r="45" spans="1:25">
      <c r="A45" s="67"/>
      <c r="B45" s="55" t="s">
        <v>361</v>
      </c>
      <c r="C45" s="55">
        <v>47</v>
      </c>
      <c r="D45" s="56" t="str">
        <f>IF(K45="","",VLOOKUP(F45,Tabelle1!$A$2:$C$496,3,0))</f>
        <v/>
      </c>
      <c r="E45" s="57" t="str">
        <f>IF(K45="","",VLOOKUP(F45,Tabelle1!$A$2:$M$496,13,0))</f>
        <v/>
      </c>
      <c r="F45" s="56"/>
      <c r="G45" s="57"/>
      <c r="H45" s="57"/>
      <c r="I45" s="57"/>
      <c r="J45" s="57"/>
      <c r="K45" s="57"/>
      <c r="L45" s="57" t="str">
        <f>IF(K45="","",VLOOKUP(F45,Tabelle1!$A$2:$I$496,9,0))</f>
        <v/>
      </c>
      <c r="M45" s="57" t="str">
        <f>IF(K45="","",VLOOKUP(F45,Tabelle1!$A$2:$G$496,7,0))</f>
        <v/>
      </c>
      <c r="N45" s="66" t="str">
        <f t="shared" si="3"/>
        <v/>
      </c>
      <c r="O45" s="66" t="str">
        <f>IF(K45="","",((K45*VLOOKUP(F45,Tabelle1!$A$2:$I$496,8,0))/$W$4))</f>
        <v/>
      </c>
      <c r="P45" s="76" t="str">
        <f>IF(K45="","",VLOOKUP(F45,Tabelle1!$A$2:$L$496,12,0))</f>
        <v/>
      </c>
      <c r="R45" s="10"/>
      <c r="S45" s="146" t="s">
        <v>353</v>
      </c>
      <c r="T45" s="147"/>
      <c r="U45" s="2">
        <f>(S47*T47)+(S48*T48)+(S49*T49)+(S50*T50)+(S51*T51)+(S52*T52)</f>
        <v>0</v>
      </c>
    </row>
    <row r="46" spans="1:25">
      <c r="A46" s="67"/>
      <c r="B46" s="55" t="s">
        <v>361</v>
      </c>
      <c r="C46" s="55">
        <v>48</v>
      </c>
      <c r="D46" s="56" t="str">
        <f>IF(K46="","",VLOOKUP(F46,Tabelle1!$A$2:$C$496,3,0))</f>
        <v/>
      </c>
      <c r="E46" s="57" t="str">
        <f>IF(K46="","",VLOOKUP(F46,Tabelle1!$A$2:$M$496,13,0))</f>
        <v/>
      </c>
      <c r="F46" s="56"/>
      <c r="G46" s="57"/>
      <c r="H46" s="57"/>
      <c r="I46" s="57"/>
      <c r="J46" s="57"/>
      <c r="K46" s="57"/>
      <c r="L46" s="57" t="str">
        <f>IF(K46="","",VLOOKUP(F46,Tabelle1!$A$2:$I$496,9,0))</f>
        <v/>
      </c>
      <c r="M46" s="57" t="str">
        <f>IF(K46="","",VLOOKUP(F46,Tabelle1!$A$2:$G$496,7,0))</f>
        <v/>
      </c>
      <c r="N46" s="66" t="str">
        <f t="shared" si="3"/>
        <v/>
      </c>
      <c r="O46" s="66" t="str">
        <f>IF(K46="","",((K46*VLOOKUP(F46,Tabelle1!$A$2:$I$496,8,0))/$W$4))</f>
        <v/>
      </c>
      <c r="P46" s="76" t="str">
        <f>IF(K46="","",VLOOKUP(F46,Tabelle1!$A$2:$L$496,12,0))</f>
        <v/>
      </c>
      <c r="R46" s="3" t="s">
        <v>356</v>
      </c>
      <c r="S46" s="3" t="s">
        <v>354</v>
      </c>
      <c r="T46" s="3" t="s">
        <v>355</v>
      </c>
      <c r="Y46" s="4"/>
    </row>
    <row r="47" spans="1:25">
      <c r="A47" s="67"/>
      <c r="B47" s="55" t="s">
        <v>361</v>
      </c>
      <c r="C47" s="55">
        <v>49</v>
      </c>
      <c r="D47" s="56" t="str">
        <f>IF(K47="","",VLOOKUP(F47,Tabelle1!$A$2:$C$496,3,0))</f>
        <v/>
      </c>
      <c r="E47" s="57" t="str">
        <f>IF(K47="","",VLOOKUP(F47,Tabelle1!$A$2:$M$496,13,0))</f>
        <v/>
      </c>
      <c r="F47" s="56"/>
      <c r="G47" s="57"/>
      <c r="H47" s="57"/>
      <c r="I47" s="57"/>
      <c r="J47" s="57"/>
      <c r="K47" s="57"/>
      <c r="L47" s="57" t="str">
        <f>IF(K47="","",VLOOKUP(F47,Tabelle1!$A$2:$I$496,9,0))</f>
        <v/>
      </c>
      <c r="M47" s="57" t="str">
        <f>IF(K47="","",VLOOKUP(F47,Tabelle1!$A$2:$G$496,7,0))</f>
        <v/>
      </c>
      <c r="N47" s="66" t="str">
        <f t="shared" si="3"/>
        <v/>
      </c>
      <c r="O47" s="66" t="str">
        <f>IF(K47="","",((K47*VLOOKUP(F47,Tabelle1!$A$2:$I$496,8,0))/$W$4))</f>
        <v/>
      </c>
      <c r="P47" s="76" t="str">
        <f>IF(K47="","",VLOOKUP(F47,Tabelle1!$A$2:$L$496,12,0))</f>
        <v/>
      </c>
      <c r="R47" s="1" t="s">
        <v>348</v>
      </c>
      <c r="S47" s="50">
        <f>'Karta informacyjna'!D8</f>
        <v>0</v>
      </c>
      <c r="T47" s="50">
        <v>425</v>
      </c>
      <c r="Y47" s="4"/>
    </row>
    <row r="48" spans="1:25">
      <c r="A48" s="67"/>
      <c r="B48" s="55" t="s">
        <v>361</v>
      </c>
      <c r="C48" s="55">
        <v>50</v>
      </c>
      <c r="D48" s="56" t="str">
        <f>IF(K48="","",VLOOKUP(F48,Tabelle1!$A$2:$C$496,3,0))</f>
        <v/>
      </c>
      <c r="E48" s="57" t="str">
        <f>IF(K48="","",VLOOKUP(F48,Tabelle1!$A$2:$M$496,13,0))</f>
        <v/>
      </c>
      <c r="F48" s="56"/>
      <c r="G48" s="57"/>
      <c r="H48" s="57"/>
      <c r="I48" s="57"/>
      <c r="J48" s="57"/>
      <c r="K48" s="57"/>
      <c r="L48" s="57" t="str">
        <f>IF(K48="","",VLOOKUP(F48,Tabelle1!$A$2:$I$496,9,0))</f>
        <v/>
      </c>
      <c r="M48" s="57" t="str">
        <f>IF(K48="","",VLOOKUP(F48,Tabelle1!$A$2:$G$496,7,0))</f>
        <v/>
      </c>
      <c r="N48" s="66" t="str">
        <f t="shared" si="3"/>
        <v/>
      </c>
      <c r="O48" s="66" t="str">
        <f>IF(K48="","",((K48*VLOOKUP(F48,Tabelle1!$A$2:$I$496,8,0))/$W$4))</f>
        <v/>
      </c>
      <c r="P48" s="76" t="str">
        <f>IF(K48="","",VLOOKUP(F48,Tabelle1!$A$2:$L$496,12,0))</f>
        <v/>
      </c>
      <c r="R48" s="3" t="s">
        <v>349</v>
      </c>
      <c r="S48" s="50"/>
      <c r="T48" s="50"/>
      <c r="Y48" s="4"/>
    </row>
    <row r="49" spans="1:25">
      <c r="A49" s="67"/>
      <c r="B49" s="55" t="s">
        <v>361</v>
      </c>
      <c r="C49" s="55">
        <v>51</v>
      </c>
      <c r="D49" s="56" t="str">
        <f>IF(K49="","",VLOOKUP(F49,Tabelle1!$A$2:$C$496,3,0))</f>
        <v/>
      </c>
      <c r="E49" s="57" t="str">
        <f>IF(K49="","",VLOOKUP(F49,Tabelle1!$A$2:$M$496,13,0))</f>
        <v/>
      </c>
      <c r="F49" s="56"/>
      <c r="G49" s="57"/>
      <c r="H49" s="57"/>
      <c r="I49" s="57"/>
      <c r="J49" s="57"/>
      <c r="K49" s="57"/>
      <c r="L49" s="57" t="str">
        <f>IF(K49="","",VLOOKUP(F49,Tabelle1!$A$2:$I$496,9,0))</f>
        <v/>
      </c>
      <c r="M49" s="57" t="str">
        <f>IF(K49="","",VLOOKUP(F49,Tabelle1!$A$2:$G$496,7,0))</f>
        <v/>
      </c>
      <c r="N49" s="66" t="str">
        <f t="shared" si="3"/>
        <v/>
      </c>
      <c r="O49" s="66" t="str">
        <f>IF(K49="","",((K49*VLOOKUP(F49,Tabelle1!$A$2:$I$496,8,0))/$W$4))</f>
        <v/>
      </c>
      <c r="P49" s="76" t="str">
        <f>IF(K49="","",VLOOKUP(F49,Tabelle1!$A$2:$L$496,12,0))</f>
        <v/>
      </c>
      <c r="R49" s="3" t="s">
        <v>347</v>
      </c>
      <c r="S49" s="50">
        <f>'Karta informacyjna'!D10</f>
        <v>0</v>
      </c>
      <c r="T49" s="50">
        <v>140</v>
      </c>
      <c r="Y49" s="4"/>
    </row>
    <row r="50" spans="1:25">
      <c r="A50" s="67"/>
      <c r="B50" s="55" t="s">
        <v>361</v>
      </c>
      <c r="C50" s="55">
        <v>52</v>
      </c>
      <c r="D50" s="56" t="str">
        <f>IF(K50="","",VLOOKUP(F50,Tabelle1!$A$2:$C$496,3,0))</f>
        <v/>
      </c>
      <c r="E50" s="57" t="str">
        <f>IF(K50="","",VLOOKUP(F50,Tabelle1!$A$2:$M$496,13,0))</f>
        <v/>
      </c>
      <c r="F50" s="56"/>
      <c r="G50" s="57"/>
      <c r="H50" s="57"/>
      <c r="I50" s="57"/>
      <c r="J50" s="57"/>
      <c r="K50" s="57"/>
      <c r="L50" s="57" t="str">
        <f>IF(K50="","",VLOOKUP(F50,Tabelle1!$A$2:$I$496,9,0))</f>
        <v/>
      </c>
      <c r="M50" s="57" t="str">
        <f>IF(K50="","",VLOOKUP(F50,Tabelle1!$A$2:$G$496,7,0))</f>
        <v/>
      </c>
      <c r="N50" s="66" t="str">
        <f t="shared" si="3"/>
        <v/>
      </c>
      <c r="O50" s="66" t="str">
        <f>IF(K50="","",((K50*VLOOKUP(F50,Tabelle1!$A$2:$I$496,8,0))/$W$4))</f>
        <v/>
      </c>
      <c r="P50" s="76" t="str">
        <f>IF(K50="","",VLOOKUP(F50,Tabelle1!$A$2:$L$496,12,0))</f>
        <v/>
      </c>
      <c r="R50" s="3" t="s">
        <v>350</v>
      </c>
      <c r="S50" s="50">
        <f>'Karta informacyjna'!D9</f>
        <v>0</v>
      </c>
      <c r="T50" s="50">
        <v>200</v>
      </c>
      <c r="Y50" s="4"/>
    </row>
    <row r="51" spans="1:25">
      <c r="A51" s="67"/>
      <c r="B51" s="55" t="s">
        <v>361</v>
      </c>
      <c r="C51" s="55">
        <v>53</v>
      </c>
      <c r="D51" s="56" t="str">
        <f>IF(K51="","",VLOOKUP(F51,Tabelle1!$A$2:$C$496,3,0))</f>
        <v/>
      </c>
      <c r="E51" s="57" t="str">
        <f>IF(K51="","",VLOOKUP(F51,Tabelle1!$A$2:$M$496,13,0))</f>
        <v/>
      </c>
      <c r="F51" s="56"/>
      <c r="G51" s="57"/>
      <c r="H51" s="57"/>
      <c r="I51" s="57"/>
      <c r="J51" s="57"/>
      <c r="K51" s="57"/>
      <c r="L51" s="57" t="str">
        <f>IF(K51="","",VLOOKUP(F51,Tabelle1!$A$2:$I$496,9,0))</f>
        <v/>
      </c>
      <c r="M51" s="57" t="str">
        <f>IF(K51="","",VLOOKUP(F51,Tabelle1!$A$2:$G$496,7,0))</f>
        <v/>
      </c>
      <c r="N51" s="66" t="str">
        <f t="shared" si="3"/>
        <v/>
      </c>
      <c r="O51" s="66" t="str">
        <f>IF(K51="","",((K51*VLOOKUP(F51,Tabelle1!$A$2:$I$496,8,0))/$W$4))</f>
        <v/>
      </c>
      <c r="P51" s="76" t="str">
        <f>IF(K51="","",VLOOKUP(F51,Tabelle1!$A$2:$L$496,12,0))</f>
        <v/>
      </c>
      <c r="R51" s="3" t="s">
        <v>351</v>
      </c>
      <c r="S51" s="50"/>
      <c r="T51" s="50"/>
      <c r="Y51" s="4"/>
    </row>
    <row r="52" spans="1:25">
      <c r="A52" s="67"/>
      <c r="B52" s="55" t="s">
        <v>361</v>
      </c>
      <c r="C52" s="55">
        <v>54</v>
      </c>
      <c r="D52" s="56" t="str">
        <f>IF(K52="","",VLOOKUP(F52,Tabelle1!$A$2:$C$496,3,0))</f>
        <v/>
      </c>
      <c r="E52" s="57" t="str">
        <f>IF(K52="","",VLOOKUP(F52,Tabelle1!$A$2:$M$496,13,0))</f>
        <v/>
      </c>
      <c r="F52" s="56"/>
      <c r="G52" s="57"/>
      <c r="H52" s="57"/>
      <c r="I52" s="57"/>
      <c r="J52" s="57"/>
      <c r="K52" s="57"/>
      <c r="L52" s="57" t="str">
        <f>IF(K52="","",VLOOKUP(F52,Tabelle1!$A$2:$I$496,9,0))</f>
        <v/>
      </c>
      <c r="M52" s="57" t="str">
        <f>IF(K52="","",VLOOKUP(F52,Tabelle1!$A$2:$G$496,7,0))</f>
        <v/>
      </c>
      <c r="N52" s="66" t="str">
        <f t="shared" si="3"/>
        <v/>
      </c>
      <c r="O52" s="66" t="str">
        <f>IF(K52="","",((K52*VLOOKUP(F52,Tabelle1!$A$2:$I$496,8,0))/$W$4))</f>
        <v/>
      </c>
      <c r="P52" s="76" t="str">
        <f>IF(K52="","",VLOOKUP(F52,Tabelle1!$A$2:$L$496,12,0))</f>
        <v/>
      </c>
      <c r="R52" s="3" t="s">
        <v>352</v>
      </c>
      <c r="S52" s="50">
        <f>'Karta informacyjna'!D11</f>
        <v>0</v>
      </c>
      <c r="T52" s="50">
        <v>425</v>
      </c>
      <c r="Y52" s="4"/>
    </row>
    <row r="53" spans="1:25">
      <c r="A53" s="67"/>
      <c r="B53" s="55" t="s">
        <v>361</v>
      </c>
      <c r="C53" s="55">
        <v>55</v>
      </c>
      <c r="D53" s="56" t="str">
        <f>IF(K53="","",VLOOKUP(F53,Tabelle1!$A$2:$C$496,3,0))</f>
        <v/>
      </c>
      <c r="E53" s="57" t="str">
        <f>IF(K53="","",VLOOKUP(F53,Tabelle1!$A$2:$M$496,13,0))</f>
        <v/>
      </c>
      <c r="F53" s="56"/>
      <c r="G53" s="57"/>
      <c r="H53" s="57"/>
      <c r="I53" s="57"/>
      <c r="J53" s="57"/>
      <c r="K53" s="57"/>
      <c r="L53" s="57" t="str">
        <f>IF(K53="","",VLOOKUP(F53,Tabelle1!$A$2:$I$496,9,0))</f>
        <v/>
      </c>
      <c r="M53" s="57" t="str">
        <f>IF(K53="","",VLOOKUP(F53,Tabelle1!$A$2:$G$496,7,0))</f>
        <v/>
      </c>
      <c r="N53" s="66" t="str">
        <f t="shared" si="3"/>
        <v/>
      </c>
      <c r="O53" s="66" t="str">
        <f>IF(K53="","",((K53*VLOOKUP(F53,Tabelle1!$A$2:$I$496,8,0))/$W$4))</f>
        <v/>
      </c>
      <c r="P53" s="76" t="str">
        <f>IF(K53="","",VLOOKUP(F53,Tabelle1!$A$2:$L$496,12,0))</f>
        <v/>
      </c>
    </row>
    <row r="54" spans="1:25">
      <c r="A54" s="67"/>
      <c r="B54" s="55" t="s">
        <v>361</v>
      </c>
      <c r="C54" s="55">
        <v>56</v>
      </c>
      <c r="D54" s="56" t="str">
        <f>IF(K54="","",VLOOKUP(F54,Tabelle1!$A$2:$C$496,3,0))</f>
        <v/>
      </c>
      <c r="E54" s="57" t="str">
        <f>IF(K54="","",VLOOKUP(F54,Tabelle1!$A$2:$M$496,13,0))</f>
        <v/>
      </c>
      <c r="F54" s="56"/>
      <c r="G54" s="57"/>
      <c r="H54" s="57"/>
      <c r="I54" s="57"/>
      <c r="J54" s="57"/>
      <c r="K54" s="57"/>
      <c r="L54" s="57" t="str">
        <f>IF(K54="","",VLOOKUP(F54,Tabelle1!$A$2:$I$496,9,0))</f>
        <v/>
      </c>
      <c r="M54" s="57" t="str">
        <f>IF(K54="","",VLOOKUP(F54,Tabelle1!$A$2:$G$496,7,0))</f>
        <v/>
      </c>
      <c r="N54" s="66" t="str">
        <f t="shared" si="3"/>
        <v/>
      </c>
      <c r="O54" s="66" t="str">
        <f>IF(K54="","",((K54*VLOOKUP(F54,Tabelle1!$A$2:$I$496,8,0))/$W$4))</f>
        <v/>
      </c>
      <c r="P54" s="76" t="str">
        <f>IF(K54="","",VLOOKUP(F54,Tabelle1!$A$2:$L$496,12,0))</f>
        <v/>
      </c>
    </row>
    <row r="55" spans="1:25">
      <c r="A55" s="67"/>
      <c r="B55" s="55" t="s">
        <v>361</v>
      </c>
      <c r="C55" s="55">
        <v>57</v>
      </c>
      <c r="D55" s="56" t="str">
        <f>IF(K55="","",VLOOKUP(F55,Tabelle1!$A$2:$C$496,3,0))</f>
        <v/>
      </c>
      <c r="E55" s="57" t="str">
        <f>IF(K55="","",VLOOKUP(F55,Tabelle1!$A$2:$M$496,13,0))</f>
        <v/>
      </c>
      <c r="F55" s="56"/>
      <c r="G55" s="57"/>
      <c r="H55" s="57"/>
      <c r="I55" s="57"/>
      <c r="J55" s="57"/>
      <c r="K55" s="57"/>
      <c r="L55" s="57" t="str">
        <f>IF(K55="","",VLOOKUP(F55,Tabelle1!$A$2:$I$496,9,0))</f>
        <v/>
      </c>
      <c r="M55" s="57" t="str">
        <f>IF(K55="","",VLOOKUP(F55,Tabelle1!$A$2:$G$496,7,0))</f>
        <v/>
      </c>
      <c r="N55" s="66" t="str">
        <f t="shared" si="3"/>
        <v/>
      </c>
      <c r="O55" s="66" t="str">
        <f>IF(K55="","",((K55*VLOOKUP(F55,Tabelle1!$A$2:$I$496,8,0))/$W$4))</f>
        <v/>
      </c>
      <c r="P55" s="76" t="str">
        <f>IF(K55="","",VLOOKUP(F55,Tabelle1!$A$2:$L$496,12,0))</f>
        <v/>
      </c>
    </row>
    <row r="56" spans="1:25">
      <c r="A56" s="67"/>
      <c r="B56" s="55" t="s">
        <v>361</v>
      </c>
      <c r="C56" s="55">
        <v>58</v>
      </c>
      <c r="D56" s="56" t="str">
        <f>IF(K56="","",VLOOKUP(F56,Tabelle1!$A$2:$C$496,3,0))</f>
        <v/>
      </c>
      <c r="E56" s="57" t="str">
        <f>IF(K56="","",VLOOKUP(F56,Tabelle1!$A$2:$M$496,13,0))</f>
        <v/>
      </c>
      <c r="F56" s="56"/>
      <c r="G56" s="57"/>
      <c r="H56" s="57"/>
      <c r="I56" s="57"/>
      <c r="J56" s="57"/>
      <c r="K56" s="57"/>
      <c r="L56" s="57" t="str">
        <f>IF(K56="","",VLOOKUP(F56,Tabelle1!$A$2:$I$496,9,0))</f>
        <v/>
      </c>
      <c r="M56" s="57" t="str">
        <f>IF(K56="","",VLOOKUP(F56,Tabelle1!$A$2:$G$496,7,0))</f>
        <v/>
      </c>
      <c r="N56" s="66" t="str">
        <f t="shared" si="3"/>
        <v/>
      </c>
      <c r="O56" s="66" t="str">
        <f>IF(K56="","",((K56*VLOOKUP(F56,Tabelle1!$A$2:$I$496,8,0))/$W$4))</f>
        <v/>
      </c>
      <c r="P56" s="76" t="str">
        <f>IF(K56="","",VLOOKUP(F56,Tabelle1!$A$2:$L$496,12,0))</f>
        <v/>
      </c>
    </row>
    <row r="57" spans="1:25">
      <c r="A57" s="67"/>
      <c r="B57" s="55" t="s">
        <v>361</v>
      </c>
      <c r="C57" s="55">
        <v>59</v>
      </c>
      <c r="D57" s="56" t="str">
        <f>IF(K57="","",VLOOKUP(F57,Tabelle1!$A$2:$C$496,3,0))</f>
        <v/>
      </c>
      <c r="E57" s="57" t="str">
        <f>IF(K57="","",VLOOKUP(F57,Tabelle1!$A$2:$M$496,13,0))</f>
        <v/>
      </c>
      <c r="F57" s="56"/>
      <c r="G57" s="57"/>
      <c r="H57" s="57"/>
      <c r="I57" s="57"/>
      <c r="J57" s="57"/>
      <c r="K57" s="57"/>
      <c r="L57" s="57" t="str">
        <f>IF(K57="","",VLOOKUP(F57,Tabelle1!$A$2:$I$496,9,0))</f>
        <v/>
      </c>
      <c r="M57" s="57" t="str">
        <f>IF(K57="","",VLOOKUP(F57,Tabelle1!$A$2:$G$496,7,0))</f>
        <v/>
      </c>
      <c r="N57" s="66" t="str">
        <f t="shared" si="3"/>
        <v/>
      </c>
      <c r="O57" s="66" t="str">
        <f>IF(K57="","",((K57*VLOOKUP(F57,Tabelle1!$A$2:$I$496,8,0))/$W$4))</f>
        <v/>
      </c>
      <c r="P57" s="76" t="str">
        <f>IF(K57="","",VLOOKUP(F57,Tabelle1!$A$2:$L$496,12,0))</f>
        <v/>
      </c>
    </row>
    <row r="58" spans="1:25">
      <c r="A58" s="67"/>
      <c r="B58" s="55" t="s">
        <v>361</v>
      </c>
      <c r="C58" s="55">
        <v>60</v>
      </c>
      <c r="D58" s="56" t="str">
        <f>IF(K58="","",VLOOKUP(F58,Tabelle1!$A$2:$C$496,3,0))</f>
        <v/>
      </c>
      <c r="E58" s="57" t="str">
        <f>IF(K58="","",VLOOKUP(F58,Tabelle1!$A$2:$M$496,13,0))</f>
        <v/>
      </c>
      <c r="F58" s="56"/>
      <c r="G58" s="57"/>
      <c r="H58" s="57"/>
      <c r="I58" s="57"/>
      <c r="J58" s="57"/>
      <c r="K58" s="57"/>
      <c r="L58" s="57" t="str">
        <f>IF(K58="","",VLOOKUP(F58,Tabelle1!$A$2:$I$496,9,0))</f>
        <v/>
      </c>
      <c r="M58" s="57" t="str">
        <f>IF(K58="","",VLOOKUP(F58,Tabelle1!$A$2:$G$496,7,0))</f>
        <v/>
      </c>
      <c r="N58" s="66" t="str">
        <f t="shared" si="3"/>
        <v/>
      </c>
      <c r="O58" s="66" t="str">
        <f>IF(K58="","",((K58*VLOOKUP(F58,Tabelle1!$A$2:$I$496,8,0))/$W$4))</f>
        <v/>
      </c>
      <c r="P58" s="76" t="str">
        <f>IF(K58="","",VLOOKUP(F58,Tabelle1!$A$2:$L$496,12,0))</f>
        <v/>
      </c>
    </row>
    <row r="59" spans="1:25">
      <c r="A59" s="67"/>
      <c r="B59" s="55" t="s">
        <v>361</v>
      </c>
      <c r="C59" s="55">
        <v>61</v>
      </c>
      <c r="D59" s="56" t="str">
        <f>IF(K59="","",VLOOKUP(F59,Tabelle1!$A$2:$C$496,3,0))</f>
        <v/>
      </c>
      <c r="E59" s="57" t="str">
        <f>IF(K59="","",VLOOKUP(F59,Tabelle1!$A$2:$M$496,13,0))</f>
        <v/>
      </c>
      <c r="F59" s="56"/>
      <c r="G59" s="57"/>
      <c r="H59" s="57"/>
      <c r="I59" s="57"/>
      <c r="J59" s="57"/>
      <c r="K59" s="57"/>
      <c r="L59" s="57" t="str">
        <f>IF(K59="","",VLOOKUP(F59,Tabelle1!$A$2:$I$496,9,0))</f>
        <v/>
      </c>
      <c r="M59" s="57" t="str">
        <f>IF(K59="","",VLOOKUP(F59,Tabelle1!$A$2:$G$496,7,0))</f>
        <v/>
      </c>
      <c r="N59" s="66" t="str">
        <f t="shared" si="3"/>
        <v/>
      </c>
      <c r="O59" s="66" t="str">
        <f>IF(K59="","",((K59*VLOOKUP(F59,Tabelle1!$A$2:$I$496,8,0))/$W$4))</f>
        <v/>
      </c>
      <c r="P59" s="76" t="str">
        <f>IF(K59="","",VLOOKUP(F59,Tabelle1!$A$2:$L$496,12,0))</f>
        <v/>
      </c>
    </row>
    <row r="60" spans="1:25">
      <c r="A60" s="67"/>
      <c r="B60" s="55" t="s">
        <v>361</v>
      </c>
      <c r="C60" s="55">
        <v>62</v>
      </c>
      <c r="D60" s="56" t="str">
        <f>IF(K60="","",VLOOKUP(F60,Tabelle1!$A$2:$C$496,3,0))</f>
        <v/>
      </c>
      <c r="E60" s="57" t="str">
        <f>IF(K60="","",VLOOKUP(F60,Tabelle1!$A$2:$M$496,13,0))</f>
        <v/>
      </c>
      <c r="F60" s="56"/>
      <c r="G60" s="57"/>
      <c r="H60" s="57"/>
      <c r="I60" s="57"/>
      <c r="J60" s="57"/>
      <c r="K60" s="57"/>
      <c r="L60" s="57" t="str">
        <f>IF(K60="","",VLOOKUP(F60,Tabelle1!$A$2:$I$496,9,0))</f>
        <v/>
      </c>
      <c r="M60" s="57" t="str">
        <f>IF(K60="","",VLOOKUP(F60,Tabelle1!$A$2:$G$496,7,0))</f>
        <v/>
      </c>
      <c r="N60" s="66" t="str">
        <f t="shared" si="3"/>
        <v/>
      </c>
      <c r="O60" s="66" t="str">
        <f>IF(K60="","",((K60*VLOOKUP(F60,Tabelle1!$A$2:$I$496,8,0))/$W$4))</f>
        <v/>
      </c>
      <c r="P60" s="76" t="str">
        <f>IF(K60="","",VLOOKUP(F60,Tabelle1!$A$2:$L$496,12,0))</f>
        <v/>
      </c>
    </row>
    <row r="61" spans="1:25">
      <c r="A61" s="67"/>
      <c r="B61" s="55" t="s">
        <v>361</v>
      </c>
      <c r="C61" s="55">
        <v>63</v>
      </c>
      <c r="D61" s="56" t="str">
        <f>IF(K61="","",VLOOKUP(F61,Tabelle1!$A$2:$C$496,3,0))</f>
        <v/>
      </c>
      <c r="E61" s="57" t="str">
        <f>IF(K61="","",VLOOKUP(F61,Tabelle1!$A$2:$M$496,13,0))</f>
        <v/>
      </c>
      <c r="F61" s="56"/>
      <c r="G61" s="57"/>
      <c r="H61" s="57"/>
      <c r="I61" s="57"/>
      <c r="J61" s="57"/>
      <c r="K61" s="57"/>
      <c r="L61" s="57" t="str">
        <f>IF(K61="","",VLOOKUP(F61,Tabelle1!$A$2:$I$496,9,0))</f>
        <v/>
      </c>
      <c r="M61" s="57" t="str">
        <f>IF(K61="","",VLOOKUP(F61,Tabelle1!$A$2:$G$496,7,0))</f>
        <v/>
      </c>
      <c r="N61" s="66" t="str">
        <f t="shared" si="3"/>
        <v/>
      </c>
      <c r="O61" s="66" t="str">
        <f>IF(K61="","",((K61*VLOOKUP(F61,Tabelle1!$A$2:$I$496,8,0))/$W$4))</f>
        <v/>
      </c>
      <c r="P61" s="76" t="str">
        <f>IF(K61="","",VLOOKUP(F61,Tabelle1!$A$2:$L$496,12,0))</f>
        <v/>
      </c>
    </row>
    <row r="62" spans="1:25">
      <c r="A62" s="67"/>
      <c r="B62" s="55" t="s">
        <v>361</v>
      </c>
      <c r="C62" s="55">
        <v>64</v>
      </c>
      <c r="D62" s="56" t="str">
        <f>IF(K62="","",VLOOKUP(F62,Tabelle1!$A$2:$C$496,3,0))</f>
        <v/>
      </c>
      <c r="E62" s="57" t="str">
        <f>IF(K62="","",VLOOKUP(F62,Tabelle1!$A$2:$M$496,13,0))</f>
        <v/>
      </c>
      <c r="F62" s="56"/>
      <c r="G62" s="57"/>
      <c r="H62" s="57"/>
      <c r="I62" s="57"/>
      <c r="J62" s="57"/>
      <c r="K62" s="57"/>
      <c r="L62" s="57" t="str">
        <f>IF(K62="","",VLOOKUP(F62,Tabelle1!$A$2:$I$496,9,0))</f>
        <v/>
      </c>
      <c r="M62" s="57" t="str">
        <f>IF(K62="","",VLOOKUP(F62,Tabelle1!$A$2:$G$496,7,0))</f>
        <v/>
      </c>
      <c r="N62" s="66" t="str">
        <f t="shared" si="3"/>
        <v/>
      </c>
      <c r="O62" s="66" t="str">
        <f>IF(K62="","",((K62*VLOOKUP(F62,Tabelle1!$A$2:$I$496,8,0))/$W$4))</f>
        <v/>
      </c>
      <c r="P62" s="76" t="str">
        <f>IF(K62="","",VLOOKUP(F62,Tabelle1!$A$2:$L$496,12,0))</f>
        <v/>
      </c>
    </row>
    <row r="63" spans="1:25">
      <c r="A63" s="67"/>
      <c r="B63" s="55" t="s">
        <v>361</v>
      </c>
      <c r="C63" s="55">
        <v>65</v>
      </c>
      <c r="D63" s="56" t="str">
        <f>IF(K63="","",VLOOKUP(F63,Tabelle1!$A$2:$C$496,3,0))</f>
        <v/>
      </c>
      <c r="E63" s="57" t="str">
        <f>IF(K63="","",VLOOKUP(F63,Tabelle1!$A$2:$M$496,13,0))</f>
        <v/>
      </c>
      <c r="F63" s="56"/>
      <c r="G63" s="57"/>
      <c r="H63" s="57"/>
      <c r="I63" s="57"/>
      <c r="J63" s="57"/>
      <c r="K63" s="57"/>
      <c r="L63" s="57" t="str">
        <f>IF(K63="","",VLOOKUP(F63,Tabelle1!$A$2:$I$496,9,0))</f>
        <v/>
      </c>
      <c r="M63" s="57" t="str">
        <f>IF(K63="","",VLOOKUP(F63,Tabelle1!$A$2:$G$496,7,0))</f>
        <v/>
      </c>
      <c r="N63" s="66" t="str">
        <f t="shared" si="3"/>
        <v/>
      </c>
      <c r="O63" s="66" t="str">
        <f>IF(K63="","",((K63*VLOOKUP(F63,Tabelle1!$A$2:$I$496,8,0))/$W$4))</f>
        <v/>
      </c>
      <c r="P63" s="76" t="str">
        <f>IF(K63="","",VLOOKUP(F63,Tabelle1!$A$2:$L$496,12,0))</f>
        <v/>
      </c>
    </row>
    <row r="64" spans="1:25">
      <c r="A64" s="67"/>
      <c r="B64" s="55" t="s">
        <v>361</v>
      </c>
      <c r="C64" s="55">
        <v>66</v>
      </c>
      <c r="D64" s="56" t="str">
        <f>IF(K64="","",VLOOKUP(F64,Tabelle1!$A$2:$C$496,3,0))</f>
        <v/>
      </c>
      <c r="E64" s="57" t="str">
        <f>IF(K64="","",VLOOKUP(F64,Tabelle1!$A$2:$M$496,13,0))</f>
        <v/>
      </c>
      <c r="F64" s="56"/>
      <c r="G64" s="57"/>
      <c r="H64" s="57"/>
      <c r="I64" s="57"/>
      <c r="J64" s="57"/>
      <c r="K64" s="57"/>
      <c r="L64" s="57" t="str">
        <f>IF(K64="","",VLOOKUP(F64,Tabelle1!$A$2:$I$496,9,0))</f>
        <v/>
      </c>
      <c r="M64" s="57" t="str">
        <f>IF(K64="","",VLOOKUP(F64,Tabelle1!$A$2:$G$496,7,0))</f>
        <v/>
      </c>
      <c r="N64" s="66" t="str">
        <f t="shared" si="3"/>
        <v/>
      </c>
      <c r="O64" s="66" t="str">
        <f>IF(K64="","",((K64*VLOOKUP(F64,Tabelle1!$A$2:$I$496,8,0))/$W$4))</f>
        <v/>
      </c>
      <c r="P64" s="76" t="str">
        <f>IF(K64="","",VLOOKUP(F64,Tabelle1!$A$2:$L$496,12,0))</f>
        <v/>
      </c>
    </row>
    <row r="65" spans="1:16">
      <c r="A65" s="67"/>
      <c r="B65" s="55" t="s">
        <v>361</v>
      </c>
      <c r="C65" s="55">
        <v>67</v>
      </c>
      <c r="D65" s="56" t="str">
        <f>IF(K65="","",VLOOKUP(F65,Tabelle1!$A$2:$C$496,3,0))</f>
        <v/>
      </c>
      <c r="E65" s="57" t="str">
        <f>IF(K65="","",VLOOKUP(F65,Tabelle1!$A$2:$M$496,13,0))</f>
        <v/>
      </c>
      <c r="F65" s="56"/>
      <c r="G65" s="57"/>
      <c r="H65" s="57"/>
      <c r="I65" s="57"/>
      <c r="J65" s="57"/>
      <c r="K65" s="57"/>
      <c r="L65" s="57" t="str">
        <f>IF(K65="","",VLOOKUP(F65,Tabelle1!$A$2:$I$496,9,0))</f>
        <v/>
      </c>
      <c r="M65" s="57" t="str">
        <f>IF(K65="","",VLOOKUP(F65,Tabelle1!$A$2:$G$496,7,0))</f>
        <v/>
      </c>
      <c r="N65" s="66" t="str">
        <f t="shared" si="3"/>
        <v/>
      </c>
      <c r="O65" s="66" t="str">
        <f>IF(K65="","",((K65*VLOOKUP(F65,Tabelle1!$A$2:$I$496,8,0))/$W$4))</f>
        <v/>
      </c>
      <c r="P65" s="76" t="str">
        <f>IF(K65="","",VLOOKUP(F65,Tabelle1!$A$2:$L$496,12,0))</f>
        <v/>
      </c>
    </row>
    <row r="66" spans="1:16">
      <c r="A66" s="67"/>
      <c r="B66" s="55" t="s">
        <v>361</v>
      </c>
      <c r="C66" s="55">
        <v>68</v>
      </c>
      <c r="D66" s="56" t="str">
        <f>IF(K66="","",VLOOKUP(F66,Tabelle1!$A$2:$C$496,3,0))</f>
        <v/>
      </c>
      <c r="E66" s="57" t="str">
        <f>IF(K66="","",VLOOKUP(F66,Tabelle1!$A$2:$M$496,13,0))</f>
        <v/>
      </c>
      <c r="F66" s="56"/>
      <c r="G66" s="57"/>
      <c r="H66" s="57"/>
      <c r="I66" s="57"/>
      <c r="J66" s="57"/>
      <c r="K66" s="57"/>
      <c r="L66" s="57" t="str">
        <f>IF(K66="","",VLOOKUP(F66,Tabelle1!$A$2:$I$496,9,0))</f>
        <v/>
      </c>
      <c r="M66" s="57" t="str">
        <f>IF(K66="","",VLOOKUP(F66,Tabelle1!$A$2:$G$496,7,0))</f>
        <v/>
      </c>
      <c r="N66" s="66" t="str">
        <f t="shared" si="3"/>
        <v/>
      </c>
      <c r="O66" s="66" t="str">
        <f>IF(K66="","",((K66*VLOOKUP(F66,Tabelle1!$A$2:$I$496,8,0))/$W$4))</f>
        <v/>
      </c>
      <c r="P66" s="76" t="str">
        <f>IF(K66="","",VLOOKUP(F66,Tabelle1!$A$2:$L$496,12,0))</f>
        <v/>
      </c>
    </row>
    <row r="67" spans="1:16">
      <c r="A67" s="67"/>
      <c r="B67" s="55" t="s">
        <v>361</v>
      </c>
      <c r="C67" s="55">
        <v>69</v>
      </c>
      <c r="D67" s="56" t="str">
        <f>IF(K67="","",VLOOKUP(F67,Tabelle1!$A$2:$C$496,3,0))</f>
        <v/>
      </c>
      <c r="E67" s="57" t="str">
        <f>IF(K67="","",VLOOKUP(F67,Tabelle1!$A$2:$M$496,13,0))</f>
        <v/>
      </c>
      <c r="F67" s="56"/>
      <c r="G67" s="57"/>
      <c r="H67" s="57"/>
      <c r="I67" s="57"/>
      <c r="J67" s="57"/>
      <c r="K67" s="57"/>
      <c r="L67" s="57" t="str">
        <f>IF(K67="","",VLOOKUP(F67,Tabelle1!$A$2:$I$496,9,0))</f>
        <v/>
      </c>
      <c r="M67" s="57" t="str">
        <f>IF(K67="","",VLOOKUP(F67,Tabelle1!$A$2:$G$496,7,0))</f>
        <v/>
      </c>
      <c r="N67" s="66" t="str">
        <f t="shared" si="3"/>
        <v/>
      </c>
      <c r="O67" s="66" t="str">
        <f>IF(K67="","",((K67*VLOOKUP(F67,Tabelle1!$A$2:$I$496,8,0))/$W$4))</f>
        <v/>
      </c>
      <c r="P67" s="76" t="str">
        <f>IF(K67="","",VLOOKUP(F67,Tabelle1!$A$2:$L$496,12,0))</f>
        <v/>
      </c>
    </row>
    <row r="68" spans="1:16">
      <c r="A68" s="67"/>
      <c r="B68" s="55" t="s">
        <v>361</v>
      </c>
      <c r="C68" s="55">
        <v>70</v>
      </c>
      <c r="D68" s="56" t="str">
        <f>IF(K68="","",VLOOKUP(F68,Tabelle1!$A$2:$C$496,3,0))</f>
        <v/>
      </c>
      <c r="E68" s="57" t="str">
        <f>IF(K68="","",VLOOKUP(F68,Tabelle1!$A$2:$M$496,13,0))</f>
        <v/>
      </c>
      <c r="F68" s="56"/>
      <c r="G68" s="57"/>
      <c r="H68" s="57"/>
      <c r="I68" s="57"/>
      <c r="J68" s="57"/>
      <c r="K68" s="57"/>
      <c r="L68" s="57" t="str">
        <f>IF(K68="","",VLOOKUP(F68,Tabelle1!$A$2:$I$496,9,0))</f>
        <v/>
      </c>
      <c r="M68" s="57" t="str">
        <f>IF(K68="","",VLOOKUP(F68,Tabelle1!$A$2:$G$496,7,0))</f>
        <v/>
      </c>
      <c r="N68" s="66" t="str">
        <f t="shared" si="3"/>
        <v/>
      </c>
      <c r="O68" s="66" t="str">
        <f>IF(K68="","",((K68*VLOOKUP(F68,Tabelle1!$A$2:$I$496,8,0))/$W$4))</f>
        <v/>
      </c>
      <c r="P68" s="76" t="str">
        <f>IF(K68="","",VLOOKUP(F68,Tabelle1!$A$2:$L$496,12,0))</f>
        <v/>
      </c>
    </row>
    <row r="69" spans="1:16">
      <c r="A69" s="67"/>
      <c r="B69" s="55" t="s">
        <v>361</v>
      </c>
      <c r="C69" s="55">
        <v>71</v>
      </c>
      <c r="D69" s="56" t="str">
        <f>IF(K69="","",VLOOKUP(F69,Tabelle1!$A$2:$C$496,3,0))</f>
        <v/>
      </c>
      <c r="E69" s="57" t="str">
        <f>IF(K69="","",VLOOKUP(F69,Tabelle1!$A$2:$M$496,13,0))</f>
        <v/>
      </c>
      <c r="F69" s="56"/>
      <c r="G69" s="57"/>
      <c r="H69" s="57"/>
      <c r="I69" s="57"/>
      <c r="J69" s="57"/>
      <c r="K69" s="57"/>
      <c r="L69" s="57" t="str">
        <f>IF(K69="","",VLOOKUP(F69,Tabelle1!$A$2:$I$496,9,0))</f>
        <v/>
      </c>
      <c r="M69" s="57" t="str">
        <f>IF(K69="","",VLOOKUP(F69,Tabelle1!$A$2:$G$496,7,0))</f>
        <v/>
      </c>
      <c r="N69" s="66" t="str">
        <f t="shared" ref="N69:N132" si="4">IF(M69&gt;0,O69,"")</f>
        <v/>
      </c>
      <c r="O69" s="66" t="str">
        <f>IF(K69="","",((K69*VLOOKUP(F69,Tabelle1!$A$2:$I$496,8,0))/$W$4))</f>
        <v/>
      </c>
      <c r="P69" s="76" t="str">
        <f>IF(K69="","",VLOOKUP(F69,Tabelle1!$A$2:$L$496,12,0))</f>
        <v/>
      </c>
    </row>
    <row r="70" spans="1:16">
      <c r="A70" s="67"/>
      <c r="B70" s="55" t="s">
        <v>361</v>
      </c>
      <c r="C70" s="55">
        <v>72</v>
      </c>
      <c r="D70" s="56" t="str">
        <f>IF(K70="","",VLOOKUP(F70,Tabelle1!$A$2:$C$496,3,0))</f>
        <v/>
      </c>
      <c r="E70" s="57" t="str">
        <f>IF(K70="","",VLOOKUP(F70,Tabelle1!$A$2:$M$496,13,0))</f>
        <v/>
      </c>
      <c r="F70" s="56"/>
      <c r="G70" s="57"/>
      <c r="H70" s="57"/>
      <c r="I70" s="57"/>
      <c r="J70" s="57"/>
      <c r="K70" s="57"/>
      <c r="L70" s="57" t="str">
        <f>IF(K70="","",VLOOKUP(F70,Tabelle1!$A$2:$I$496,9,0))</f>
        <v/>
      </c>
      <c r="M70" s="57" t="str">
        <f>IF(K70="","",VLOOKUP(F70,Tabelle1!$A$2:$G$496,7,0))</f>
        <v/>
      </c>
      <c r="N70" s="66" t="str">
        <f t="shared" si="4"/>
        <v/>
      </c>
      <c r="O70" s="66" t="str">
        <f>IF(K70="","",((K70*VLOOKUP(F70,Tabelle1!$A$2:$I$496,8,0))/$W$4))</f>
        <v/>
      </c>
      <c r="P70" s="76" t="str">
        <f>IF(K70="","",VLOOKUP(F70,Tabelle1!$A$2:$L$496,12,0))</f>
        <v/>
      </c>
    </row>
    <row r="71" spans="1:16">
      <c r="A71" s="67"/>
      <c r="B71" s="55" t="s">
        <v>361</v>
      </c>
      <c r="C71" s="55">
        <v>73</v>
      </c>
      <c r="D71" s="56" t="str">
        <f>IF(K71="","",VLOOKUP(F71,Tabelle1!$A$2:$C$496,3,0))</f>
        <v/>
      </c>
      <c r="E71" s="57" t="str">
        <f>IF(K71="","",VLOOKUP(F71,Tabelle1!$A$2:$M$496,13,0))</f>
        <v/>
      </c>
      <c r="F71" s="56"/>
      <c r="G71" s="57"/>
      <c r="H71" s="57"/>
      <c r="I71" s="57"/>
      <c r="J71" s="57"/>
      <c r="K71" s="57"/>
      <c r="L71" s="57" t="str">
        <f>IF(K71="","",VLOOKUP(F71,Tabelle1!$A$2:$I$496,9,0))</f>
        <v/>
      </c>
      <c r="M71" s="57" t="str">
        <f>IF(K71="","",VLOOKUP(F71,Tabelle1!$A$2:$G$496,7,0))</f>
        <v/>
      </c>
      <c r="N71" s="66" t="str">
        <f t="shared" si="4"/>
        <v/>
      </c>
      <c r="O71" s="66" t="str">
        <f>IF(K71="","",((K71*VLOOKUP(F71,Tabelle1!$A$2:$I$496,8,0))/$W$4))</f>
        <v/>
      </c>
      <c r="P71" s="76" t="str">
        <f>IF(K71="","",VLOOKUP(F71,Tabelle1!$A$2:$L$496,12,0))</f>
        <v/>
      </c>
    </row>
    <row r="72" spans="1:16">
      <c r="A72" s="67"/>
      <c r="B72" s="55" t="s">
        <v>361</v>
      </c>
      <c r="C72" s="55">
        <v>74</v>
      </c>
      <c r="D72" s="56" t="str">
        <f>IF(K72="","",VLOOKUP(F72,Tabelle1!$A$2:$C$496,3,0))</f>
        <v/>
      </c>
      <c r="E72" s="57" t="str">
        <f>IF(K72="","",VLOOKUP(F72,Tabelle1!$A$2:$M$496,13,0))</f>
        <v/>
      </c>
      <c r="F72" s="56"/>
      <c r="G72" s="57"/>
      <c r="H72" s="57"/>
      <c r="I72" s="57"/>
      <c r="J72" s="57"/>
      <c r="K72" s="57"/>
      <c r="L72" s="57" t="str">
        <f>IF(K72="","",VLOOKUP(F72,Tabelle1!$A$2:$I$496,9,0))</f>
        <v/>
      </c>
      <c r="M72" s="57" t="str">
        <f>IF(K72="","",VLOOKUP(F72,Tabelle1!$A$2:$G$496,7,0))</f>
        <v/>
      </c>
      <c r="N72" s="66" t="str">
        <f t="shared" si="4"/>
        <v/>
      </c>
      <c r="O72" s="66" t="str">
        <f>IF(K72="","",((K72*VLOOKUP(F72,Tabelle1!$A$2:$I$496,8,0))/$W$4))</f>
        <v/>
      </c>
      <c r="P72" s="76" t="str">
        <f>IF(K72="","",VLOOKUP(F72,Tabelle1!$A$2:$L$496,12,0))</f>
        <v/>
      </c>
    </row>
    <row r="73" spans="1:16">
      <c r="A73" s="67"/>
      <c r="B73" s="55" t="s">
        <v>361</v>
      </c>
      <c r="C73" s="55">
        <v>75</v>
      </c>
      <c r="D73" s="56" t="str">
        <f>IF(K73="","",VLOOKUP(F73,Tabelle1!$A$2:$C$496,3,0))</f>
        <v/>
      </c>
      <c r="E73" s="57" t="str">
        <f>IF(K73="","",VLOOKUP(F73,Tabelle1!$A$2:$M$496,13,0))</f>
        <v/>
      </c>
      <c r="F73" s="56"/>
      <c r="G73" s="57"/>
      <c r="H73" s="57"/>
      <c r="I73" s="57"/>
      <c r="J73" s="57"/>
      <c r="K73" s="57"/>
      <c r="L73" s="57" t="str">
        <f>IF(K73="","",VLOOKUP(F73,Tabelle1!$A$2:$I$496,9,0))</f>
        <v/>
      </c>
      <c r="M73" s="57" t="str">
        <f>IF(K73="","",VLOOKUP(F73,Tabelle1!$A$2:$G$496,7,0))</f>
        <v/>
      </c>
      <c r="N73" s="66" t="str">
        <f t="shared" si="4"/>
        <v/>
      </c>
      <c r="O73" s="66" t="str">
        <f>IF(K73="","",((K73*VLOOKUP(F73,Tabelle1!$A$2:$I$496,8,0))/$W$4))</f>
        <v/>
      </c>
      <c r="P73" s="76" t="str">
        <f>IF(K73="","",VLOOKUP(F73,Tabelle1!$A$2:$L$496,12,0))</f>
        <v/>
      </c>
    </row>
    <row r="74" spans="1:16">
      <c r="A74" s="67"/>
      <c r="B74" s="55" t="s">
        <v>361</v>
      </c>
      <c r="C74" s="55">
        <v>76</v>
      </c>
      <c r="D74" s="56" t="str">
        <f>IF(K74="","",VLOOKUP(F74,Tabelle1!$A$2:$C$496,3,0))</f>
        <v/>
      </c>
      <c r="E74" s="57" t="str">
        <f>IF(K74="","",VLOOKUP(F74,Tabelle1!$A$2:$M$496,13,0))</f>
        <v/>
      </c>
      <c r="F74" s="56"/>
      <c r="G74" s="57"/>
      <c r="H74" s="57"/>
      <c r="I74" s="57"/>
      <c r="J74" s="57"/>
      <c r="K74" s="57"/>
      <c r="L74" s="57" t="str">
        <f>IF(K74="","",VLOOKUP(F74,Tabelle1!$A$2:$I$496,9,0))</f>
        <v/>
      </c>
      <c r="M74" s="57" t="str">
        <f>IF(K74="","",VLOOKUP(F74,Tabelle1!$A$2:$G$496,7,0))</f>
        <v/>
      </c>
      <c r="N74" s="66" t="str">
        <f t="shared" si="4"/>
        <v/>
      </c>
      <c r="O74" s="66" t="str">
        <f>IF(K74="","",((K74*VLOOKUP(F74,Tabelle1!$A$2:$I$496,8,0))/$W$4))</f>
        <v/>
      </c>
      <c r="P74" s="76" t="str">
        <f>IF(K74="","",VLOOKUP(F74,Tabelle1!$A$2:$L$496,12,0))</f>
        <v/>
      </c>
    </row>
    <row r="75" spans="1:16">
      <c r="A75" s="67"/>
      <c r="B75" s="55" t="s">
        <v>361</v>
      </c>
      <c r="C75" s="55">
        <v>77</v>
      </c>
      <c r="D75" s="56" t="str">
        <f>IF(K75="","",VLOOKUP(F75,Tabelle1!$A$2:$C$496,3,0))</f>
        <v/>
      </c>
      <c r="E75" s="57" t="str">
        <f>IF(K75="","",VLOOKUP(F75,Tabelle1!$A$2:$M$496,13,0))</f>
        <v/>
      </c>
      <c r="F75" s="56"/>
      <c r="G75" s="57"/>
      <c r="H75" s="57"/>
      <c r="I75" s="57"/>
      <c r="J75" s="57"/>
      <c r="K75" s="57"/>
      <c r="L75" s="57" t="str">
        <f>IF(K75="","",VLOOKUP(F75,Tabelle1!$A$2:$I$496,9,0))</f>
        <v/>
      </c>
      <c r="M75" s="57" t="str">
        <f>IF(K75="","",VLOOKUP(F75,Tabelle1!$A$2:$G$496,7,0))</f>
        <v/>
      </c>
      <c r="N75" s="66" t="str">
        <f t="shared" si="4"/>
        <v/>
      </c>
      <c r="O75" s="66" t="str">
        <f>IF(K75="","",((K75*VLOOKUP(F75,Tabelle1!$A$2:$I$496,8,0))/$W$4))</f>
        <v/>
      </c>
      <c r="P75" s="76" t="str">
        <f>IF(K75="","",VLOOKUP(F75,Tabelle1!$A$2:$L$496,12,0))</f>
        <v/>
      </c>
    </row>
    <row r="76" spans="1:16">
      <c r="A76" s="67"/>
      <c r="B76" s="55" t="s">
        <v>361</v>
      </c>
      <c r="C76" s="55">
        <v>78</v>
      </c>
      <c r="D76" s="56" t="str">
        <f>IF(K76="","",VLOOKUP(F76,Tabelle1!$A$2:$C$496,3,0))</f>
        <v/>
      </c>
      <c r="E76" s="57" t="str">
        <f>IF(K76="","",VLOOKUP(F76,Tabelle1!$A$2:$M$496,13,0))</f>
        <v/>
      </c>
      <c r="F76" s="56"/>
      <c r="G76" s="57"/>
      <c r="H76" s="57"/>
      <c r="I76" s="57"/>
      <c r="J76" s="57"/>
      <c r="K76" s="57"/>
      <c r="L76" s="57" t="str">
        <f>IF(K76="","",VLOOKUP(F76,Tabelle1!$A$2:$I$496,9,0))</f>
        <v/>
      </c>
      <c r="M76" s="57" t="str">
        <f>IF(K76="","",VLOOKUP(F76,Tabelle1!$A$2:$G$496,7,0))</f>
        <v/>
      </c>
      <c r="N76" s="66" t="str">
        <f t="shared" si="4"/>
        <v/>
      </c>
      <c r="O76" s="66" t="str">
        <f>IF(K76="","",((K76*VLOOKUP(F76,Tabelle1!$A$2:$I$496,8,0))/$W$4))</f>
        <v/>
      </c>
      <c r="P76" s="76" t="str">
        <f>IF(K76="","",VLOOKUP(F76,Tabelle1!$A$2:$L$496,12,0))</f>
        <v/>
      </c>
    </row>
    <row r="77" spans="1:16">
      <c r="A77" s="67"/>
      <c r="B77" s="55" t="s">
        <v>361</v>
      </c>
      <c r="C77" s="55">
        <v>79</v>
      </c>
      <c r="D77" s="56" t="str">
        <f>IF(K77="","",VLOOKUP(F77,Tabelle1!$A$2:$C$496,3,0))</f>
        <v/>
      </c>
      <c r="E77" s="57" t="str">
        <f>IF(K77="","",VLOOKUP(F77,Tabelle1!$A$2:$M$496,13,0))</f>
        <v/>
      </c>
      <c r="F77" s="56"/>
      <c r="G77" s="57"/>
      <c r="H77" s="57"/>
      <c r="I77" s="57"/>
      <c r="J77" s="57"/>
      <c r="K77" s="57"/>
      <c r="L77" s="57" t="str">
        <f>IF(K77="","",VLOOKUP(F77,Tabelle1!$A$2:$I$496,9,0))</f>
        <v/>
      </c>
      <c r="M77" s="57" t="str">
        <f>IF(K77="","",VLOOKUP(F77,Tabelle1!$A$2:$G$496,7,0))</f>
        <v/>
      </c>
      <c r="N77" s="66" t="str">
        <f t="shared" si="4"/>
        <v/>
      </c>
      <c r="O77" s="66" t="str">
        <f>IF(K77="","",((K77*VLOOKUP(F77,Tabelle1!$A$2:$I$496,8,0))/$W$4))</f>
        <v/>
      </c>
      <c r="P77" s="76" t="str">
        <f>IF(K77="","",VLOOKUP(F77,Tabelle1!$A$2:$L$496,12,0))</f>
        <v/>
      </c>
    </row>
    <row r="78" spans="1:16">
      <c r="A78" s="67"/>
      <c r="B78" s="55" t="s">
        <v>361</v>
      </c>
      <c r="C78" s="55">
        <v>80</v>
      </c>
      <c r="D78" s="56" t="str">
        <f>IF(K78="","",VLOOKUP(F78,Tabelle1!$A$2:$C$496,3,0))</f>
        <v/>
      </c>
      <c r="E78" s="57" t="str">
        <f>IF(K78="","",VLOOKUP(F78,Tabelle1!$A$2:$M$496,13,0))</f>
        <v/>
      </c>
      <c r="F78" s="56"/>
      <c r="G78" s="57"/>
      <c r="H78" s="57"/>
      <c r="I78" s="57"/>
      <c r="J78" s="57"/>
      <c r="K78" s="57"/>
      <c r="L78" s="57" t="str">
        <f>IF(K78="","",VLOOKUP(F78,Tabelle1!$A$2:$I$496,9,0))</f>
        <v/>
      </c>
      <c r="M78" s="57" t="str">
        <f>IF(K78="","",VLOOKUP(F78,Tabelle1!$A$2:$G$496,7,0))</f>
        <v/>
      </c>
      <c r="N78" s="66" t="str">
        <f t="shared" si="4"/>
        <v/>
      </c>
      <c r="O78" s="66" t="str">
        <f>IF(K78="","",((K78*VLOOKUP(F78,Tabelle1!$A$2:$I$496,8,0))/$W$4))</f>
        <v/>
      </c>
      <c r="P78" s="76" t="str">
        <f>IF(K78="","",VLOOKUP(F78,Tabelle1!$A$2:$L$496,12,0))</f>
        <v/>
      </c>
    </row>
    <row r="79" spans="1:16">
      <c r="A79" s="67"/>
      <c r="B79" s="55" t="s">
        <v>361</v>
      </c>
      <c r="C79" s="55">
        <v>81</v>
      </c>
      <c r="D79" s="56" t="str">
        <f>IF(K79="","",VLOOKUP(F79,Tabelle1!$A$2:$C$496,3,0))</f>
        <v/>
      </c>
      <c r="E79" s="57" t="str">
        <f>IF(K79="","",VLOOKUP(F79,Tabelle1!$A$2:$M$496,13,0))</f>
        <v/>
      </c>
      <c r="F79" s="56"/>
      <c r="G79" s="57"/>
      <c r="H79" s="57"/>
      <c r="I79" s="57"/>
      <c r="J79" s="57"/>
      <c r="K79" s="57"/>
      <c r="L79" s="57" t="str">
        <f>IF(K79="","",VLOOKUP(F79,Tabelle1!$A$2:$I$496,9,0))</f>
        <v/>
      </c>
      <c r="M79" s="57" t="str">
        <f>IF(K79="","",VLOOKUP(F79,Tabelle1!$A$2:$G$496,7,0))</f>
        <v/>
      </c>
      <c r="N79" s="66" t="str">
        <f t="shared" si="4"/>
        <v/>
      </c>
      <c r="O79" s="66" t="str">
        <f>IF(K79="","",((K79*VLOOKUP(F79,Tabelle1!$A$2:$I$496,8,0))/$W$4))</f>
        <v/>
      </c>
      <c r="P79" s="76" t="str">
        <f>IF(K79="","",VLOOKUP(F79,Tabelle1!$A$2:$L$496,12,0))</f>
        <v/>
      </c>
    </row>
    <row r="80" spans="1:16">
      <c r="A80" s="67"/>
      <c r="B80" s="55" t="s">
        <v>361</v>
      </c>
      <c r="C80" s="55">
        <v>82</v>
      </c>
      <c r="D80" s="56" t="str">
        <f>IF(K80="","",VLOOKUP(F80,Tabelle1!$A$2:$C$496,3,0))</f>
        <v/>
      </c>
      <c r="E80" s="57" t="str">
        <f>IF(K80="","",VLOOKUP(F80,Tabelle1!$A$2:$M$496,13,0))</f>
        <v/>
      </c>
      <c r="F80" s="56"/>
      <c r="G80" s="57"/>
      <c r="H80" s="57"/>
      <c r="I80" s="57"/>
      <c r="J80" s="57"/>
      <c r="K80" s="57"/>
      <c r="L80" s="57" t="str">
        <f>IF(K80="","",VLOOKUP(F80,Tabelle1!$A$2:$I$496,9,0))</f>
        <v/>
      </c>
      <c r="M80" s="57" t="str">
        <f>IF(K80="","",VLOOKUP(F80,Tabelle1!$A$2:$G$496,7,0))</f>
        <v/>
      </c>
      <c r="N80" s="66" t="str">
        <f t="shared" si="4"/>
        <v/>
      </c>
      <c r="O80" s="66" t="str">
        <f>IF(K80="","",((K80*VLOOKUP(F80,Tabelle1!$A$2:$I$496,8,0))/$W$4))</f>
        <v/>
      </c>
      <c r="P80" s="76" t="str">
        <f>IF(K80="","",VLOOKUP(F80,Tabelle1!$A$2:$L$496,12,0))</f>
        <v/>
      </c>
    </row>
    <row r="81" spans="1:16">
      <c r="A81" s="67"/>
      <c r="B81" s="55" t="s">
        <v>361</v>
      </c>
      <c r="C81" s="55">
        <v>83</v>
      </c>
      <c r="D81" s="56" t="str">
        <f>IF(K81="","",VLOOKUP(F81,Tabelle1!$A$2:$C$496,3,0))</f>
        <v/>
      </c>
      <c r="E81" s="57" t="str">
        <f>IF(K81="","",VLOOKUP(F81,Tabelle1!$A$2:$M$496,13,0))</f>
        <v/>
      </c>
      <c r="F81" s="56"/>
      <c r="G81" s="57"/>
      <c r="H81" s="57"/>
      <c r="I81" s="57"/>
      <c r="J81" s="57"/>
      <c r="K81" s="57"/>
      <c r="L81" s="57" t="str">
        <f>IF(K81="","",VLOOKUP(F81,Tabelle1!$A$2:$I$496,9,0))</f>
        <v/>
      </c>
      <c r="M81" s="57" t="str">
        <f>IF(K81="","",VLOOKUP(F81,Tabelle1!$A$2:$G$496,7,0))</f>
        <v/>
      </c>
      <c r="N81" s="66" t="str">
        <f t="shared" si="4"/>
        <v/>
      </c>
      <c r="O81" s="66" t="str">
        <f>IF(K81="","",((K81*VLOOKUP(F81,Tabelle1!$A$2:$I$496,8,0))/$W$4))</f>
        <v/>
      </c>
      <c r="P81" s="76" t="str">
        <f>IF(K81="","",VLOOKUP(F81,Tabelle1!$A$2:$L$496,12,0))</f>
        <v/>
      </c>
    </row>
    <row r="82" spans="1:16">
      <c r="A82" s="67"/>
      <c r="B82" s="55" t="s">
        <v>361</v>
      </c>
      <c r="C82" s="55">
        <v>84</v>
      </c>
      <c r="D82" s="56" t="str">
        <f>IF(K82="","",VLOOKUP(F82,Tabelle1!$A$2:$C$496,3,0))</f>
        <v/>
      </c>
      <c r="E82" s="57" t="str">
        <f>IF(K82="","",VLOOKUP(F82,Tabelle1!$A$2:$M$496,13,0))</f>
        <v/>
      </c>
      <c r="F82" s="56"/>
      <c r="G82" s="57"/>
      <c r="H82" s="57"/>
      <c r="I82" s="57"/>
      <c r="J82" s="57"/>
      <c r="K82" s="57"/>
      <c r="L82" s="57" t="str">
        <f>IF(K82="","",VLOOKUP(F82,Tabelle1!$A$2:$I$496,9,0))</f>
        <v/>
      </c>
      <c r="M82" s="57" t="str">
        <f>IF(K82="","",VLOOKUP(F82,Tabelle1!$A$2:$G$496,7,0))</f>
        <v/>
      </c>
      <c r="N82" s="66" t="str">
        <f t="shared" si="4"/>
        <v/>
      </c>
      <c r="O82" s="66" t="str">
        <f>IF(K82="","",((K82*VLOOKUP(F82,Tabelle1!$A$2:$I$496,8,0))/$W$4))</f>
        <v/>
      </c>
      <c r="P82" s="76" t="str">
        <f>IF(K82="","",VLOOKUP(F82,Tabelle1!$A$2:$L$496,12,0))</f>
        <v/>
      </c>
    </row>
    <row r="83" spans="1:16">
      <c r="A83" s="67"/>
      <c r="B83" s="55" t="s">
        <v>361</v>
      </c>
      <c r="C83" s="55">
        <v>85</v>
      </c>
      <c r="D83" s="56" t="str">
        <f>IF(K83="","",VLOOKUP(F83,Tabelle1!$A$2:$C$496,3,0))</f>
        <v/>
      </c>
      <c r="E83" s="57" t="str">
        <f>IF(K83="","",VLOOKUP(F83,Tabelle1!$A$2:$M$496,13,0))</f>
        <v/>
      </c>
      <c r="F83" s="56"/>
      <c r="G83" s="57"/>
      <c r="H83" s="57"/>
      <c r="I83" s="57"/>
      <c r="J83" s="57"/>
      <c r="K83" s="57"/>
      <c r="L83" s="57" t="str">
        <f>IF(K83="","",VLOOKUP(F83,Tabelle1!$A$2:$I$496,9,0))</f>
        <v/>
      </c>
      <c r="M83" s="57" t="str">
        <f>IF(K83="","",VLOOKUP(F83,Tabelle1!$A$2:$G$496,7,0))</f>
        <v/>
      </c>
      <c r="N83" s="66" t="str">
        <f t="shared" si="4"/>
        <v/>
      </c>
      <c r="O83" s="66" t="str">
        <f>IF(K83="","",((K83*VLOOKUP(F83,Tabelle1!$A$2:$I$496,8,0))/$W$4))</f>
        <v/>
      </c>
      <c r="P83" s="76" t="str">
        <f>IF(K83="","",VLOOKUP(F83,Tabelle1!$A$2:$L$496,12,0))</f>
        <v/>
      </c>
    </row>
    <row r="84" spans="1:16">
      <c r="A84" s="67"/>
      <c r="B84" s="55" t="s">
        <v>361</v>
      </c>
      <c r="C84" s="55">
        <v>86</v>
      </c>
      <c r="D84" s="56" t="str">
        <f>IF(K84="","",VLOOKUP(F84,Tabelle1!$A$2:$C$496,3,0))</f>
        <v/>
      </c>
      <c r="E84" s="57" t="str">
        <f>IF(K84="","",VLOOKUP(F84,Tabelle1!$A$2:$M$496,13,0))</f>
        <v/>
      </c>
      <c r="F84" s="56"/>
      <c r="G84" s="57"/>
      <c r="H84" s="57"/>
      <c r="I84" s="57"/>
      <c r="J84" s="57"/>
      <c r="K84" s="57"/>
      <c r="L84" s="57" t="str">
        <f>IF(K84="","",VLOOKUP(F84,Tabelle1!$A$2:$I$496,9,0))</f>
        <v/>
      </c>
      <c r="M84" s="57" t="str">
        <f>IF(K84="","",VLOOKUP(F84,Tabelle1!$A$2:$G$496,7,0))</f>
        <v/>
      </c>
      <c r="N84" s="66" t="str">
        <f t="shared" si="4"/>
        <v/>
      </c>
      <c r="O84" s="66" t="str">
        <f>IF(K84="","",((K84*VLOOKUP(F84,Tabelle1!$A$2:$I$496,8,0))/$W$4))</f>
        <v/>
      </c>
      <c r="P84" s="76" t="str">
        <f>IF(K84="","",VLOOKUP(F84,Tabelle1!$A$2:$L$496,12,0))</f>
        <v/>
      </c>
    </row>
    <row r="85" spans="1:16">
      <c r="A85" s="67"/>
      <c r="B85" s="55" t="s">
        <v>361</v>
      </c>
      <c r="C85" s="55">
        <v>87</v>
      </c>
      <c r="D85" s="56" t="str">
        <f>IF(K85="","",VLOOKUP(F85,Tabelle1!$A$2:$C$496,3,0))</f>
        <v/>
      </c>
      <c r="E85" s="57" t="str">
        <f>IF(K85="","",VLOOKUP(F85,Tabelle1!$A$2:$M$496,13,0))</f>
        <v/>
      </c>
      <c r="F85" s="56"/>
      <c r="G85" s="57"/>
      <c r="H85" s="57"/>
      <c r="I85" s="57"/>
      <c r="J85" s="57"/>
      <c r="K85" s="57"/>
      <c r="L85" s="57" t="str">
        <f>IF(K85="","",VLOOKUP(F85,Tabelle1!$A$2:$I$496,9,0))</f>
        <v/>
      </c>
      <c r="M85" s="57" t="str">
        <f>IF(K85="","",VLOOKUP(F85,Tabelle1!$A$2:$G$496,7,0))</f>
        <v/>
      </c>
      <c r="N85" s="66" t="str">
        <f t="shared" si="4"/>
        <v/>
      </c>
      <c r="O85" s="66" t="str">
        <f>IF(K85="","",((K85*VLOOKUP(F85,Tabelle1!$A$2:$I$496,8,0))/$W$4))</f>
        <v/>
      </c>
      <c r="P85" s="76" t="str">
        <f>IF(K85="","",VLOOKUP(F85,Tabelle1!$A$2:$L$496,12,0))</f>
        <v/>
      </c>
    </row>
    <row r="86" spans="1:16">
      <c r="A86" s="67"/>
      <c r="B86" s="55" t="s">
        <v>361</v>
      </c>
      <c r="C86" s="55">
        <v>88</v>
      </c>
      <c r="D86" s="56" t="str">
        <f>IF(K86="","",VLOOKUP(F86,Tabelle1!$A$2:$C$496,3,0))</f>
        <v/>
      </c>
      <c r="E86" s="57" t="str">
        <f>IF(K86="","",VLOOKUP(F86,Tabelle1!$A$2:$M$496,13,0))</f>
        <v/>
      </c>
      <c r="F86" s="56"/>
      <c r="G86" s="57"/>
      <c r="H86" s="57"/>
      <c r="I86" s="57"/>
      <c r="J86" s="57"/>
      <c r="K86" s="57"/>
      <c r="L86" s="57" t="str">
        <f>IF(K86="","",VLOOKUP(F86,Tabelle1!$A$2:$I$496,9,0))</f>
        <v/>
      </c>
      <c r="M86" s="57" t="str">
        <f>IF(K86="","",VLOOKUP(F86,Tabelle1!$A$2:$G$496,7,0))</f>
        <v/>
      </c>
      <c r="N86" s="66" t="str">
        <f t="shared" si="4"/>
        <v/>
      </c>
      <c r="O86" s="66" t="str">
        <f>IF(K86="","",((K86*VLOOKUP(F86,Tabelle1!$A$2:$I$496,8,0))/$W$4))</f>
        <v/>
      </c>
      <c r="P86" s="76" t="str">
        <f>IF(K86="","",VLOOKUP(F86,Tabelle1!$A$2:$L$496,12,0))</f>
        <v/>
      </c>
    </row>
    <row r="87" spans="1:16">
      <c r="A87" s="67"/>
      <c r="B87" s="55" t="s">
        <v>361</v>
      </c>
      <c r="C87" s="55">
        <v>89</v>
      </c>
      <c r="D87" s="56" t="str">
        <f>IF(K87="","",VLOOKUP(F87,Tabelle1!$A$2:$C$496,3,0))</f>
        <v/>
      </c>
      <c r="E87" s="57" t="str">
        <f>IF(K87="","",VLOOKUP(F87,Tabelle1!$A$2:$M$496,13,0))</f>
        <v/>
      </c>
      <c r="F87" s="56"/>
      <c r="G87" s="57"/>
      <c r="H87" s="57"/>
      <c r="I87" s="57"/>
      <c r="J87" s="57"/>
      <c r="K87" s="57"/>
      <c r="L87" s="57" t="str">
        <f>IF(K87="","",VLOOKUP(F87,Tabelle1!$A$2:$I$496,9,0))</f>
        <v/>
      </c>
      <c r="M87" s="57" t="str">
        <f>IF(K87="","",VLOOKUP(F87,Tabelle1!$A$2:$G$496,7,0))</f>
        <v/>
      </c>
      <c r="N87" s="66" t="str">
        <f t="shared" si="4"/>
        <v/>
      </c>
      <c r="O87" s="66" t="str">
        <f>IF(K87="","",((K87*VLOOKUP(F87,Tabelle1!$A$2:$I$496,8,0))/$W$4))</f>
        <v/>
      </c>
      <c r="P87" s="76" t="str">
        <f>IF(K87="","",VLOOKUP(F87,Tabelle1!$A$2:$L$496,12,0))</f>
        <v/>
      </c>
    </row>
    <row r="88" spans="1:16">
      <c r="A88" s="67"/>
      <c r="B88" s="55" t="s">
        <v>361</v>
      </c>
      <c r="C88" s="55">
        <v>90</v>
      </c>
      <c r="D88" s="56" t="str">
        <f>IF(K88="","",VLOOKUP(F88,Tabelle1!$A$2:$C$496,3,0))</f>
        <v/>
      </c>
      <c r="E88" s="57" t="str">
        <f>IF(K88="","",VLOOKUP(F88,Tabelle1!$A$2:$M$496,13,0))</f>
        <v/>
      </c>
      <c r="F88" s="56"/>
      <c r="G88" s="57"/>
      <c r="H88" s="57"/>
      <c r="I88" s="57"/>
      <c r="J88" s="57"/>
      <c r="K88" s="57"/>
      <c r="L88" s="57" t="str">
        <f>IF(K88="","",VLOOKUP(F88,Tabelle1!$A$2:$I$496,9,0))</f>
        <v/>
      </c>
      <c r="M88" s="57" t="str">
        <f>IF(K88="","",VLOOKUP(F88,Tabelle1!$A$2:$G$496,7,0))</f>
        <v/>
      </c>
      <c r="N88" s="66" t="str">
        <f t="shared" si="4"/>
        <v/>
      </c>
      <c r="O88" s="66" t="str">
        <f>IF(K88="","",((K88*VLOOKUP(F88,Tabelle1!$A$2:$I$496,8,0))/$W$4))</f>
        <v/>
      </c>
      <c r="P88" s="76" t="str">
        <f>IF(K88="","",VLOOKUP(F88,Tabelle1!$A$2:$L$496,12,0))</f>
        <v/>
      </c>
    </row>
    <row r="89" spans="1:16">
      <c r="A89" s="67"/>
      <c r="B89" s="55" t="s">
        <v>361</v>
      </c>
      <c r="C89" s="55">
        <v>91</v>
      </c>
      <c r="D89" s="56" t="str">
        <f>IF(K89="","",VLOOKUP(F89,Tabelle1!$A$2:$C$496,3,0))</f>
        <v/>
      </c>
      <c r="E89" s="57" t="str">
        <f>IF(K89="","",VLOOKUP(F89,Tabelle1!$A$2:$M$496,13,0))</f>
        <v/>
      </c>
      <c r="F89" s="56"/>
      <c r="G89" s="57"/>
      <c r="H89" s="57"/>
      <c r="I89" s="57"/>
      <c r="J89" s="57"/>
      <c r="K89" s="57"/>
      <c r="L89" s="57" t="str">
        <f>IF(K89="","",VLOOKUP(F89,Tabelle1!$A$2:$I$496,9,0))</f>
        <v/>
      </c>
      <c r="M89" s="57" t="str">
        <f>IF(K89="","",VLOOKUP(F89,Tabelle1!$A$2:$G$496,7,0))</f>
        <v/>
      </c>
      <c r="N89" s="66" t="str">
        <f t="shared" si="4"/>
        <v/>
      </c>
      <c r="O89" s="66" t="str">
        <f>IF(K89="","",((K89*VLOOKUP(F89,Tabelle1!$A$2:$I$496,8,0))/$W$4))</f>
        <v/>
      </c>
      <c r="P89" s="76" t="str">
        <f>IF(K89="","",VLOOKUP(F89,Tabelle1!$A$2:$L$496,12,0))</f>
        <v/>
      </c>
    </row>
    <row r="90" spans="1:16">
      <c r="A90" s="67"/>
      <c r="B90" s="55" t="s">
        <v>361</v>
      </c>
      <c r="C90" s="55">
        <v>92</v>
      </c>
      <c r="D90" s="56" t="str">
        <f>IF(K90="","",VLOOKUP(F90,Tabelle1!$A$2:$C$496,3,0))</f>
        <v/>
      </c>
      <c r="E90" s="57" t="str">
        <f>IF(K90="","",VLOOKUP(F90,Tabelle1!$A$2:$M$496,13,0))</f>
        <v/>
      </c>
      <c r="F90" s="56"/>
      <c r="G90" s="57"/>
      <c r="H90" s="57"/>
      <c r="I90" s="57"/>
      <c r="J90" s="57"/>
      <c r="K90" s="57"/>
      <c r="L90" s="57" t="str">
        <f>IF(K90="","",VLOOKUP(F90,Tabelle1!$A$2:$I$496,9,0))</f>
        <v/>
      </c>
      <c r="M90" s="57" t="str">
        <f>IF(K90="","",VLOOKUP(F90,Tabelle1!$A$2:$G$496,7,0))</f>
        <v/>
      </c>
      <c r="N90" s="66" t="str">
        <f t="shared" si="4"/>
        <v/>
      </c>
      <c r="O90" s="66" t="str">
        <f>IF(K90="","",((K90*VLOOKUP(F90,Tabelle1!$A$2:$I$496,8,0))/$W$4))</f>
        <v/>
      </c>
      <c r="P90" s="76" t="str">
        <f>IF(K90="","",VLOOKUP(F90,Tabelle1!$A$2:$L$496,12,0))</f>
        <v/>
      </c>
    </row>
    <row r="91" spans="1:16">
      <c r="A91" s="67"/>
      <c r="B91" s="55" t="s">
        <v>361</v>
      </c>
      <c r="C91" s="55">
        <v>93</v>
      </c>
      <c r="D91" s="56" t="str">
        <f>IF(K91="","",VLOOKUP(F91,Tabelle1!$A$2:$C$496,3,0))</f>
        <v/>
      </c>
      <c r="E91" s="57" t="str">
        <f>IF(K91="","",VLOOKUP(F91,Tabelle1!$A$2:$M$496,13,0))</f>
        <v/>
      </c>
      <c r="F91" s="56"/>
      <c r="G91" s="57"/>
      <c r="H91" s="57"/>
      <c r="I91" s="57"/>
      <c r="J91" s="57"/>
      <c r="K91" s="57"/>
      <c r="L91" s="57" t="str">
        <f>IF(K91="","",VLOOKUP(F91,Tabelle1!$A$2:$I$496,9,0))</f>
        <v/>
      </c>
      <c r="M91" s="57" t="str">
        <f>IF(K91="","",VLOOKUP(F91,Tabelle1!$A$2:$G$496,7,0))</f>
        <v/>
      </c>
      <c r="N91" s="66" t="str">
        <f t="shared" si="4"/>
        <v/>
      </c>
      <c r="O91" s="66" t="str">
        <f>IF(K91="","",((K91*VLOOKUP(F91,Tabelle1!$A$2:$I$496,8,0))/$W$4))</f>
        <v/>
      </c>
      <c r="P91" s="76" t="str">
        <f>IF(K91="","",VLOOKUP(F91,Tabelle1!$A$2:$L$496,12,0))</f>
        <v/>
      </c>
    </row>
    <row r="92" spans="1:16">
      <c r="A92" s="67"/>
      <c r="B92" s="55" t="s">
        <v>361</v>
      </c>
      <c r="C92" s="55">
        <v>94</v>
      </c>
      <c r="D92" s="56" t="str">
        <f>IF(K92="","",VLOOKUP(F92,Tabelle1!$A$2:$C$496,3,0))</f>
        <v/>
      </c>
      <c r="E92" s="57" t="str">
        <f>IF(K92="","",VLOOKUP(F92,Tabelle1!$A$2:$M$496,13,0))</f>
        <v/>
      </c>
      <c r="F92" s="56"/>
      <c r="G92" s="57"/>
      <c r="H92" s="57"/>
      <c r="I92" s="57"/>
      <c r="J92" s="57"/>
      <c r="K92" s="57"/>
      <c r="L92" s="57" t="str">
        <f>IF(K92="","",VLOOKUP(F92,Tabelle1!$A$2:$I$496,9,0))</f>
        <v/>
      </c>
      <c r="M92" s="57" t="str">
        <f>IF(K92="","",VLOOKUP(F92,Tabelle1!$A$2:$G$496,7,0))</f>
        <v/>
      </c>
      <c r="N92" s="66" t="str">
        <f t="shared" si="4"/>
        <v/>
      </c>
      <c r="O92" s="66" t="str">
        <f>IF(K92="","",((K92*VLOOKUP(F92,Tabelle1!$A$2:$I$496,8,0))/$W$4))</f>
        <v/>
      </c>
      <c r="P92" s="76" t="str">
        <f>IF(K92="","",VLOOKUP(F92,Tabelle1!$A$2:$L$496,12,0))</f>
        <v/>
      </c>
    </row>
    <row r="93" spans="1:16">
      <c r="A93" s="67"/>
      <c r="B93" s="55" t="s">
        <v>361</v>
      </c>
      <c r="C93" s="55">
        <v>95</v>
      </c>
      <c r="D93" s="56" t="str">
        <f>IF(K93="","",VLOOKUP(F93,Tabelle1!$A$2:$C$496,3,0))</f>
        <v/>
      </c>
      <c r="E93" s="57" t="str">
        <f>IF(K93="","",VLOOKUP(F93,Tabelle1!$A$2:$M$496,13,0))</f>
        <v/>
      </c>
      <c r="F93" s="56"/>
      <c r="G93" s="57"/>
      <c r="H93" s="57"/>
      <c r="I93" s="57"/>
      <c r="J93" s="57"/>
      <c r="K93" s="57"/>
      <c r="L93" s="57" t="str">
        <f>IF(K93="","",VLOOKUP(F93,Tabelle1!$A$2:$I$496,9,0))</f>
        <v/>
      </c>
      <c r="M93" s="57" t="str">
        <f>IF(K93="","",VLOOKUP(F93,Tabelle1!$A$2:$G$496,7,0))</f>
        <v/>
      </c>
      <c r="N93" s="66" t="str">
        <f t="shared" si="4"/>
        <v/>
      </c>
      <c r="O93" s="66" t="str">
        <f>IF(K93="","",((K93*VLOOKUP(F93,Tabelle1!$A$2:$I$496,8,0))/$W$4))</f>
        <v/>
      </c>
      <c r="P93" s="76" t="str">
        <f>IF(K93="","",VLOOKUP(F93,Tabelle1!$A$2:$L$496,12,0))</f>
        <v/>
      </c>
    </row>
    <row r="94" spans="1:16">
      <c r="A94" s="67"/>
      <c r="B94" s="55" t="s">
        <v>361</v>
      </c>
      <c r="C94" s="55">
        <v>96</v>
      </c>
      <c r="D94" s="56" t="str">
        <f>IF(K94="","",VLOOKUP(F94,Tabelle1!$A$2:$C$496,3,0))</f>
        <v/>
      </c>
      <c r="E94" s="57" t="str">
        <f>IF(K94="","",VLOOKUP(F94,Tabelle1!$A$2:$M$496,13,0))</f>
        <v/>
      </c>
      <c r="F94" s="56"/>
      <c r="G94" s="57"/>
      <c r="H94" s="57"/>
      <c r="I94" s="57"/>
      <c r="J94" s="57"/>
      <c r="K94" s="57"/>
      <c r="L94" s="57" t="str">
        <f>IF(K94="","",VLOOKUP(F94,Tabelle1!$A$2:$I$496,9,0))</f>
        <v/>
      </c>
      <c r="M94" s="57" t="str">
        <f>IF(K94="","",VLOOKUP(F94,Tabelle1!$A$2:$G$496,7,0))</f>
        <v/>
      </c>
      <c r="N94" s="66" t="str">
        <f t="shared" si="4"/>
        <v/>
      </c>
      <c r="O94" s="66" t="str">
        <f>IF(K94="","",((K94*VLOOKUP(F94,Tabelle1!$A$2:$I$496,8,0))/$W$4))</f>
        <v/>
      </c>
      <c r="P94" s="76" t="str">
        <f>IF(K94="","",VLOOKUP(F94,Tabelle1!$A$2:$L$496,12,0))</f>
        <v/>
      </c>
    </row>
    <row r="95" spans="1:16">
      <c r="A95" s="67"/>
      <c r="B95" s="55" t="s">
        <v>361</v>
      </c>
      <c r="C95" s="55">
        <v>97</v>
      </c>
      <c r="D95" s="56" t="str">
        <f>IF(K95="","",VLOOKUP(F95,Tabelle1!$A$2:$C$496,3,0))</f>
        <v/>
      </c>
      <c r="E95" s="57" t="str">
        <f>IF(K95="","",VLOOKUP(F95,Tabelle1!$A$2:$M$496,13,0))</f>
        <v/>
      </c>
      <c r="F95" s="56"/>
      <c r="G95" s="57"/>
      <c r="H95" s="57"/>
      <c r="I95" s="57"/>
      <c r="J95" s="57"/>
      <c r="K95" s="57"/>
      <c r="L95" s="57" t="str">
        <f>IF(K95="","",VLOOKUP(F95,Tabelle1!$A$2:$I$496,9,0))</f>
        <v/>
      </c>
      <c r="M95" s="57" t="str">
        <f>IF(K95="","",VLOOKUP(F95,Tabelle1!$A$2:$G$496,7,0))</f>
        <v/>
      </c>
      <c r="N95" s="66" t="str">
        <f t="shared" si="4"/>
        <v/>
      </c>
      <c r="O95" s="66" t="str">
        <f>IF(K95="","",((K95*VLOOKUP(F95,Tabelle1!$A$2:$I$496,8,0))/$W$4))</f>
        <v/>
      </c>
      <c r="P95" s="76" t="str">
        <f>IF(K95="","",VLOOKUP(F95,Tabelle1!$A$2:$L$496,12,0))</f>
        <v/>
      </c>
    </row>
    <row r="96" spans="1:16">
      <c r="A96" s="67"/>
      <c r="B96" s="55" t="s">
        <v>361</v>
      </c>
      <c r="C96" s="55">
        <v>98</v>
      </c>
      <c r="D96" s="56" t="str">
        <f>IF(K96="","",VLOOKUP(F96,Tabelle1!$A$2:$C$496,3,0))</f>
        <v/>
      </c>
      <c r="E96" s="57" t="str">
        <f>IF(K96="","",VLOOKUP(F96,Tabelle1!$A$2:$M$496,13,0))</f>
        <v/>
      </c>
      <c r="F96" s="56"/>
      <c r="G96" s="57"/>
      <c r="H96" s="57"/>
      <c r="I96" s="57"/>
      <c r="J96" s="57"/>
      <c r="K96" s="57"/>
      <c r="L96" s="57" t="str">
        <f>IF(K96="","",VLOOKUP(F96,Tabelle1!$A$2:$I$496,9,0))</f>
        <v/>
      </c>
      <c r="M96" s="57" t="str">
        <f>IF(K96="","",VLOOKUP(F96,Tabelle1!$A$2:$G$496,7,0))</f>
        <v/>
      </c>
      <c r="N96" s="66" t="str">
        <f t="shared" si="4"/>
        <v/>
      </c>
      <c r="O96" s="66" t="str">
        <f>IF(K96="","",((K96*VLOOKUP(F96,Tabelle1!$A$2:$I$496,8,0))/$W$4))</f>
        <v/>
      </c>
      <c r="P96" s="76" t="str">
        <f>IF(K96="","",VLOOKUP(F96,Tabelle1!$A$2:$L$496,12,0))</f>
        <v/>
      </c>
    </row>
    <row r="97" spans="1:16">
      <c r="A97" s="67"/>
      <c r="B97" s="55" t="s">
        <v>361</v>
      </c>
      <c r="C97" s="55">
        <v>99</v>
      </c>
      <c r="D97" s="56" t="str">
        <f>IF(K97="","",VLOOKUP(F97,Tabelle1!$A$2:$C$496,3,0))</f>
        <v/>
      </c>
      <c r="E97" s="57" t="str">
        <f>IF(K97="","",VLOOKUP(F97,Tabelle1!$A$2:$M$496,13,0))</f>
        <v/>
      </c>
      <c r="F97" s="56"/>
      <c r="G97" s="57"/>
      <c r="H97" s="57"/>
      <c r="I97" s="57"/>
      <c r="J97" s="57"/>
      <c r="K97" s="57"/>
      <c r="L97" s="57" t="str">
        <f>IF(K97="","",VLOOKUP(F97,Tabelle1!$A$2:$I$496,9,0))</f>
        <v/>
      </c>
      <c r="M97" s="57" t="str">
        <f>IF(K97="","",VLOOKUP(F97,Tabelle1!$A$2:$G$496,7,0))</f>
        <v/>
      </c>
      <c r="N97" s="66" t="str">
        <f t="shared" si="4"/>
        <v/>
      </c>
      <c r="O97" s="66" t="str">
        <f>IF(K97="","",((K97*VLOOKUP(F97,Tabelle1!$A$2:$I$496,8,0))/$W$4))</f>
        <v/>
      </c>
      <c r="P97" s="76" t="str">
        <f>IF(K97="","",VLOOKUP(F97,Tabelle1!$A$2:$L$496,12,0))</f>
        <v/>
      </c>
    </row>
    <row r="98" spans="1:16">
      <c r="A98" s="67"/>
      <c r="B98" s="55" t="s">
        <v>361</v>
      </c>
      <c r="C98" s="55">
        <v>100</v>
      </c>
      <c r="D98" s="56" t="str">
        <f>IF(K98="","",VLOOKUP(F98,Tabelle1!$A$2:$C$496,3,0))</f>
        <v/>
      </c>
      <c r="E98" s="57" t="str">
        <f>IF(K98="","",VLOOKUP(F98,Tabelle1!$A$2:$M$496,13,0))</f>
        <v/>
      </c>
      <c r="F98" s="56"/>
      <c r="G98" s="57"/>
      <c r="H98" s="57"/>
      <c r="I98" s="57"/>
      <c r="J98" s="57"/>
      <c r="K98" s="57"/>
      <c r="L98" s="57" t="str">
        <f>IF(K98="","",VLOOKUP(F98,Tabelle1!$A$2:$I$496,9,0))</f>
        <v/>
      </c>
      <c r="M98" s="57" t="str">
        <f>IF(K98="","",VLOOKUP(F98,Tabelle1!$A$2:$G$496,7,0))</f>
        <v/>
      </c>
      <c r="N98" s="66" t="str">
        <f t="shared" si="4"/>
        <v/>
      </c>
      <c r="O98" s="66" t="str">
        <f>IF(K98="","",((K98*VLOOKUP(F98,Tabelle1!$A$2:$I$496,8,0))/$W$4))</f>
        <v/>
      </c>
      <c r="P98" s="76" t="str">
        <f>IF(K98="","",VLOOKUP(F98,Tabelle1!$A$2:$L$496,12,0))</f>
        <v/>
      </c>
    </row>
    <row r="99" spans="1:16">
      <c r="A99" s="67"/>
      <c r="B99" s="55" t="s">
        <v>361</v>
      </c>
      <c r="C99" s="55">
        <v>101</v>
      </c>
      <c r="D99" s="56" t="str">
        <f>IF(K99="","",VLOOKUP(F99,Tabelle1!$A$2:$C$496,3,0))</f>
        <v/>
      </c>
      <c r="E99" s="57" t="str">
        <f>IF(K99="","",VLOOKUP(F99,Tabelle1!$A$2:$M$496,13,0))</f>
        <v/>
      </c>
      <c r="F99" s="56"/>
      <c r="G99" s="57"/>
      <c r="H99" s="57"/>
      <c r="I99" s="57"/>
      <c r="J99" s="57"/>
      <c r="K99" s="57"/>
      <c r="L99" s="57" t="str">
        <f>IF(K99="","",VLOOKUP(F99,Tabelle1!$A$2:$I$496,9,0))</f>
        <v/>
      </c>
      <c r="M99" s="57" t="str">
        <f>IF(K99="","",VLOOKUP(F99,Tabelle1!$A$2:$G$496,7,0))</f>
        <v/>
      </c>
      <c r="N99" s="66" t="str">
        <f t="shared" si="4"/>
        <v/>
      </c>
      <c r="O99" s="66" t="str">
        <f>IF(K99="","",((K99*VLOOKUP(F99,Tabelle1!$A$2:$I$496,8,0))/$W$4))</f>
        <v/>
      </c>
      <c r="P99" s="76" t="str">
        <f>IF(K99="","",VLOOKUP(F99,Tabelle1!$A$2:$L$496,12,0))</f>
        <v/>
      </c>
    </row>
    <row r="100" spans="1:16">
      <c r="A100" s="67"/>
      <c r="B100" s="55" t="s">
        <v>361</v>
      </c>
      <c r="C100" s="55">
        <v>102</v>
      </c>
      <c r="D100" s="56" t="str">
        <f>IF(K100="","",VLOOKUP(F100,Tabelle1!$A$2:$C$496,3,0))</f>
        <v/>
      </c>
      <c r="E100" s="57" t="str">
        <f>IF(K100="","",VLOOKUP(F100,Tabelle1!$A$2:$M$496,13,0))</f>
        <v/>
      </c>
      <c r="F100" s="56"/>
      <c r="G100" s="57"/>
      <c r="H100" s="57"/>
      <c r="I100" s="57"/>
      <c r="J100" s="57"/>
      <c r="K100" s="57"/>
      <c r="L100" s="57" t="str">
        <f>IF(K100="","",VLOOKUP(F100,Tabelle1!$A$2:$I$496,9,0))</f>
        <v/>
      </c>
      <c r="M100" s="57" t="str">
        <f>IF(K100="","",VLOOKUP(F100,Tabelle1!$A$2:$G$496,7,0))</f>
        <v/>
      </c>
      <c r="N100" s="66" t="str">
        <f t="shared" si="4"/>
        <v/>
      </c>
      <c r="O100" s="66" t="str">
        <f>IF(K100="","",((K100*VLOOKUP(F100,Tabelle1!$A$2:$I$496,8,0))/$W$4))</f>
        <v/>
      </c>
      <c r="P100" s="76" t="str">
        <f>IF(K100="","",VLOOKUP(F100,Tabelle1!$A$2:$L$496,12,0))</f>
        <v/>
      </c>
    </row>
    <row r="101" spans="1:16">
      <c r="A101" s="67"/>
      <c r="B101" s="55" t="s">
        <v>361</v>
      </c>
      <c r="C101" s="55">
        <v>103</v>
      </c>
      <c r="D101" s="56" t="str">
        <f>IF(K101="","",VLOOKUP(F101,Tabelle1!$A$2:$C$496,3,0))</f>
        <v/>
      </c>
      <c r="E101" s="57" t="str">
        <f>IF(K101="","",VLOOKUP(F101,Tabelle1!$A$2:$M$496,13,0))</f>
        <v/>
      </c>
      <c r="F101" s="56"/>
      <c r="G101" s="57"/>
      <c r="H101" s="57"/>
      <c r="I101" s="57"/>
      <c r="J101" s="57"/>
      <c r="K101" s="57"/>
      <c r="L101" s="57" t="str">
        <f>IF(K101="","",VLOOKUP(F101,Tabelle1!$A$2:$I$496,9,0))</f>
        <v/>
      </c>
      <c r="M101" s="57" t="str">
        <f>IF(K101="","",VLOOKUP(F101,Tabelle1!$A$2:$G$496,7,0))</f>
        <v/>
      </c>
      <c r="N101" s="66" t="str">
        <f t="shared" si="4"/>
        <v/>
      </c>
      <c r="O101" s="66" t="str">
        <f>IF(K101="","",((K101*VLOOKUP(F101,Tabelle1!$A$2:$I$496,8,0))/$W$4))</f>
        <v/>
      </c>
      <c r="P101" s="76" t="str">
        <f>IF(K101="","",VLOOKUP(F101,Tabelle1!$A$2:$L$496,12,0))</f>
        <v/>
      </c>
    </row>
    <row r="102" spans="1:16">
      <c r="A102" s="67"/>
      <c r="B102" s="55" t="s">
        <v>361</v>
      </c>
      <c r="C102" s="55">
        <v>104</v>
      </c>
      <c r="D102" s="56" t="str">
        <f>IF(K102="","",VLOOKUP(F102,Tabelle1!$A$2:$C$496,3,0))</f>
        <v/>
      </c>
      <c r="E102" s="57" t="str">
        <f>IF(K102="","",VLOOKUP(F102,Tabelle1!$A$2:$M$496,13,0))</f>
        <v/>
      </c>
      <c r="F102" s="56"/>
      <c r="G102" s="57"/>
      <c r="H102" s="57"/>
      <c r="I102" s="57"/>
      <c r="J102" s="57"/>
      <c r="K102" s="57"/>
      <c r="L102" s="57" t="str">
        <f>IF(K102="","",VLOOKUP(F102,Tabelle1!$A$2:$I$496,9,0))</f>
        <v/>
      </c>
      <c r="M102" s="57" t="str">
        <f>IF(K102="","",VLOOKUP(F102,Tabelle1!$A$2:$G$496,7,0))</f>
        <v/>
      </c>
      <c r="N102" s="66" t="str">
        <f t="shared" si="4"/>
        <v/>
      </c>
      <c r="O102" s="66" t="str">
        <f>IF(K102="","",((K102*VLOOKUP(F102,Tabelle1!$A$2:$I$496,8,0))/$W$4))</f>
        <v/>
      </c>
      <c r="P102" s="76" t="str">
        <f>IF(K102="","",VLOOKUP(F102,Tabelle1!$A$2:$L$496,12,0))</f>
        <v/>
      </c>
    </row>
    <row r="103" spans="1:16">
      <c r="A103" s="67"/>
      <c r="B103" s="55" t="s">
        <v>361</v>
      </c>
      <c r="C103" s="55">
        <v>105</v>
      </c>
      <c r="D103" s="56" t="str">
        <f>IF(K103="","",VLOOKUP(F103,Tabelle1!$A$2:$C$496,3,0))</f>
        <v/>
      </c>
      <c r="E103" s="57" t="str">
        <f>IF(K103="","",VLOOKUP(F103,Tabelle1!$A$2:$M$496,13,0))</f>
        <v/>
      </c>
      <c r="F103" s="56"/>
      <c r="G103" s="57"/>
      <c r="H103" s="57"/>
      <c r="I103" s="57"/>
      <c r="J103" s="57"/>
      <c r="K103" s="57"/>
      <c r="L103" s="57" t="str">
        <f>IF(K103="","",VLOOKUP(F103,Tabelle1!$A$2:$I$496,9,0))</f>
        <v/>
      </c>
      <c r="M103" s="57" t="str">
        <f>IF(K103="","",VLOOKUP(F103,Tabelle1!$A$2:$G$496,7,0))</f>
        <v/>
      </c>
      <c r="N103" s="66" t="str">
        <f t="shared" si="4"/>
        <v/>
      </c>
      <c r="O103" s="66" t="str">
        <f>IF(K103="","",((K103*VLOOKUP(F103,Tabelle1!$A$2:$I$496,8,0))/$W$4))</f>
        <v/>
      </c>
      <c r="P103" s="76" t="str">
        <f>IF(K103="","",VLOOKUP(F103,Tabelle1!$A$2:$L$496,12,0))</f>
        <v/>
      </c>
    </row>
    <row r="104" spans="1:16">
      <c r="A104" s="67"/>
      <c r="B104" s="55" t="s">
        <v>361</v>
      </c>
      <c r="C104" s="55">
        <v>106</v>
      </c>
      <c r="D104" s="56" t="str">
        <f>IF(K104="","",VLOOKUP(F104,Tabelle1!$A$2:$C$496,3,0))</f>
        <v/>
      </c>
      <c r="E104" s="57" t="str">
        <f>IF(K104="","",VLOOKUP(F104,Tabelle1!$A$2:$M$496,13,0))</f>
        <v/>
      </c>
      <c r="F104" s="56"/>
      <c r="G104" s="57"/>
      <c r="H104" s="57"/>
      <c r="I104" s="57"/>
      <c r="J104" s="57"/>
      <c r="K104" s="57"/>
      <c r="L104" s="57" t="str">
        <f>IF(K104="","",VLOOKUP(F104,Tabelle1!$A$2:$I$496,9,0))</f>
        <v/>
      </c>
      <c r="M104" s="57" t="str">
        <f>IF(K104="","",VLOOKUP(F104,Tabelle1!$A$2:$G$496,7,0))</f>
        <v/>
      </c>
      <c r="N104" s="66" t="str">
        <f t="shared" si="4"/>
        <v/>
      </c>
      <c r="O104" s="66" t="str">
        <f>IF(K104="","",((K104*VLOOKUP(F104,Tabelle1!$A$2:$I$496,8,0))/$W$4))</f>
        <v/>
      </c>
      <c r="P104" s="76" t="str">
        <f>IF(K104="","",VLOOKUP(F104,Tabelle1!$A$2:$L$496,12,0))</f>
        <v/>
      </c>
    </row>
    <row r="105" spans="1:16">
      <c r="A105" s="67"/>
      <c r="B105" s="55" t="s">
        <v>361</v>
      </c>
      <c r="C105" s="55">
        <v>107</v>
      </c>
      <c r="D105" s="56" t="str">
        <f>IF(K105="","",VLOOKUP(F105,Tabelle1!$A$2:$C$496,3,0))</f>
        <v/>
      </c>
      <c r="E105" s="57" t="str">
        <f>IF(K105="","",VLOOKUP(F105,Tabelle1!$A$2:$M$496,13,0))</f>
        <v/>
      </c>
      <c r="F105" s="56"/>
      <c r="G105" s="57"/>
      <c r="H105" s="57"/>
      <c r="I105" s="57"/>
      <c r="J105" s="57"/>
      <c r="K105" s="57"/>
      <c r="L105" s="57" t="str">
        <f>IF(K105="","",VLOOKUP(F105,Tabelle1!$A$2:$I$496,9,0))</f>
        <v/>
      </c>
      <c r="M105" s="57" t="str">
        <f>IF(K105="","",VLOOKUP(F105,Tabelle1!$A$2:$G$496,7,0))</f>
        <v/>
      </c>
      <c r="N105" s="66" t="str">
        <f t="shared" si="4"/>
        <v/>
      </c>
      <c r="O105" s="66" t="str">
        <f>IF(K105="","",((K105*VLOOKUP(F105,Tabelle1!$A$2:$I$496,8,0))/$W$4))</f>
        <v/>
      </c>
      <c r="P105" s="76" t="str">
        <f>IF(K105="","",VLOOKUP(F105,Tabelle1!$A$2:$L$496,12,0))</f>
        <v/>
      </c>
    </row>
    <row r="106" spans="1:16">
      <c r="A106" s="67"/>
      <c r="B106" s="55" t="s">
        <v>361</v>
      </c>
      <c r="C106" s="55">
        <v>108</v>
      </c>
      <c r="D106" s="56" t="str">
        <f>IF(K106="","",VLOOKUP(F106,Tabelle1!$A$2:$C$496,3,0))</f>
        <v/>
      </c>
      <c r="E106" s="57" t="str">
        <f>IF(K106="","",VLOOKUP(F106,Tabelle1!$A$2:$M$496,13,0))</f>
        <v/>
      </c>
      <c r="F106" s="56"/>
      <c r="G106" s="57"/>
      <c r="H106" s="57"/>
      <c r="I106" s="57"/>
      <c r="J106" s="57"/>
      <c r="K106" s="57"/>
      <c r="L106" s="57" t="str">
        <f>IF(K106="","",VLOOKUP(F106,Tabelle1!$A$2:$I$496,9,0))</f>
        <v/>
      </c>
      <c r="M106" s="57" t="str">
        <f>IF(K106="","",VLOOKUP(F106,Tabelle1!$A$2:$G$496,7,0))</f>
        <v/>
      </c>
      <c r="N106" s="66" t="str">
        <f t="shared" si="4"/>
        <v/>
      </c>
      <c r="O106" s="66" t="str">
        <f>IF(K106="","",((K106*VLOOKUP(F106,Tabelle1!$A$2:$I$496,8,0))/$W$4))</f>
        <v/>
      </c>
      <c r="P106" s="76" t="str">
        <f>IF(K106="","",VLOOKUP(F106,Tabelle1!$A$2:$L$496,12,0))</f>
        <v/>
      </c>
    </row>
    <row r="107" spans="1:16">
      <c r="A107" s="67"/>
      <c r="B107" s="55" t="s">
        <v>361</v>
      </c>
      <c r="C107" s="55">
        <v>109</v>
      </c>
      <c r="D107" s="56" t="str">
        <f>IF(K107="","",VLOOKUP(F107,Tabelle1!$A$2:$C$496,3,0))</f>
        <v/>
      </c>
      <c r="E107" s="57" t="str">
        <f>IF(K107="","",VLOOKUP(F107,Tabelle1!$A$2:$M$496,13,0))</f>
        <v/>
      </c>
      <c r="F107" s="56"/>
      <c r="G107" s="57"/>
      <c r="H107" s="57"/>
      <c r="I107" s="57"/>
      <c r="J107" s="57"/>
      <c r="K107" s="57"/>
      <c r="L107" s="57" t="str">
        <f>IF(K107="","",VLOOKUP(F107,Tabelle1!$A$2:$I$496,9,0))</f>
        <v/>
      </c>
      <c r="M107" s="57" t="str">
        <f>IF(K107="","",VLOOKUP(F107,Tabelle1!$A$2:$G$496,7,0))</f>
        <v/>
      </c>
      <c r="N107" s="66" t="str">
        <f t="shared" si="4"/>
        <v/>
      </c>
      <c r="O107" s="66" t="str">
        <f>IF(K107="","",((K107*VLOOKUP(F107,Tabelle1!$A$2:$I$496,8,0))/$W$4))</f>
        <v/>
      </c>
      <c r="P107" s="76" t="str">
        <f>IF(K107="","",VLOOKUP(F107,Tabelle1!$A$2:$L$496,12,0))</f>
        <v/>
      </c>
    </row>
    <row r="108" spans="1:16">
      <c r="A108" s="67"/>
      <c r="B108" s="55" t="s">
        <v>361</v>
      </c>
      <c r="C108" s="55">
        <v>110</v>
      </c>
      <c r="D108" s="56" t="str">
        <f>IF(K108="","",VLOOKUP(F108,Tabelle1!$A$2:$C$496,3,0))</f>
        <v/>
      </c>
      <c r="E108" s="57" t="str">
        <f>IF(K108="","",VLOOKUP(F108,Tabelle1!$A$2:$M$496,13,0))</f>
        <v/>
      </c>
      <c r="F108" s="56"/>
      <c r="G108" s="57"/>
      <c r="H108" s="57"/>
      <c r="I108" s="57"/>
      <c r="J108" s="57"/>
      <c r="K108" s="57"/>
      <c r="L108" s="57" t="str">
        <f>IF(K108="","",VLOOKUP(F108,Tabelle1!$A$2:$I$496,9,0))</f>
        <v/>
      </c>
      <c r="M108" s="57" t="str">
        <f>IF(K108="","",VLOOKUP(F108,Tabelle1!$A$2:$G$496,7,0))</f>
        <v/>
      </c>
      <c r="N108" s="66" t="str">
        <f t="shared" si="4"/>
        <v/>
      </c>
      <c r="O108" s="66" t="str">
        <f>IF(K108="","",((K108*VLOOKUP(F108,Tabelle1!$A$2:$I$496,8,0))/$W$4))</f>
        <v/>
      </c>
      <c r="P108" s="76" t="str">
        <f>IF(K108="","",VLOOKUP(F108,Tabelle1!$A$2:$L$496,12,0))</f>
        <v/>
      </c>
    </row>
    <row r="109" spans="1:16">
      <c r="A109" s="67"/>
      <c r="B109" s="55" t="s">
        <v>361</v>
      </c>
      <c r="C109" s="55">
        <v>111</v>
      </c>
      <c r="D109" s="56" t="str">
        <f>IF(K109="","",VLOOKUP(F109,Tabelle1!$A$2:$C$496,3,0))</f>
        <v/>
      </c>
      <c r="E109" s="57" t="str">
        <f>IF(K109="","",VLOOKUP(F109,Tabelle1!$A$2:$M$496,13,0))</f>
        <v/>
      </c>
      <c r="F109" s="56"/>
      <c r="G109" s="57"/>
      <c r="H109" s="57"/>
      <c r="I109" s="57"/>
      <c r="J109" s="57"/>
      <c r="K109" s="57"/>
      <c r="L109" s="57" t="str">
        <f>IF(K109="","",VLOOKUP(F109,Tabelle1!$A$2:$I$496,9,0))</f>
        <v/>
      </c>
      <c r="M109" s="57" t="str">
        <f>IF(K109="","",VLOOKUP(F109,Tabelle1!$A$2:$G$496,7,0))</f>
        <v/>
      </c>
      <c r="N109" s="66" t="str">
        <f t="shared" si="4"/>
        <v/>
      </c>
      <c r="O109" s="66" t="str">
        <f>IF(K109="","",((K109*VLOOKUP(F109,Tabelle1!$A$2:$I$496,8,0))/$W$4))</f>
        <v/>
      </c>
      <c r="P109" s="76" t="str">
        <f>IF(K109="","",VLOOKUP(F109,Tabelle1!$A$2:$L$496,12,0))</f>
        <v/>
      </c>
    </row>
    <row r="110" spans="1:16">
      <c r="A110" s="67"/>
      <c r="B110" s="55" t="s">
        <v>361</v>
      </c>
      <c r="C110" s="55">
        <v>112</v>
      </c>
      <c r="D110" s="56" t="str">
        <f>IF(K110="","",VLOOKUP(F110,Tabelle1!$A$2:$C$496,3,0))</f>
        <v/>
      </c>
      <c r="E110" s="57" t="str">
        <f>IF(K110="","",VLOOKUP(F110,Tabelle1!$A$2:$M$496,13,0))</f>
        <v/>
      </c>
      <c r="F110" s="56"/>
      <c r="G110" s="57"/>
      <c r="H110" s="57"/>
      <c r="I110" s="57"/>
      <c r="J110" s="57"/>
      <c r="K110" s="57"/>
      <c r="L110" s="57" t="str">
        <f>IF(K110="","",VLOOKUP(F110,Tabelle1!$A$2:$I$496,9,0))</f>
        <v/>
      </c>
      <c r="M110" s="57" t="str">
        <f>IF(K110="","",VLOOKUP(F110,Tabelle1!$A$2:$G$496,7,0))</f>
        <v/>
      </c>
      <c r="N110" s="66" t="str">
        <f t="shared" si="4"/>
        <v/>
      </c>
      <c r="O110" s="66" t="str">
        <f>IF(K110="","",((K110*VLOOKUP(F110,Tabelle1!$A$2:$I$496,8,0))/$W$4))</f>
        <v/>
      </c>
      <c r="P110" s="76" t="str">
        <f>IF(K110="","",VLOOKUP(F110,Tabelle1!$A$2:$L$496,12,0))</f>
        <v/>
      </c>
    </row>
    <row r="111" spans="1:16">
      <c r="A111" s="67"/>
      <c r="B111" s="55" t="s">
        <v>361</v>
      </c>
      <c r="C111" s="55">
        <v>113</v>
      </c>
      <c r="D111" s="56" t="str">
        <f>IF(K111="","",VLOOKUP(F111,Tabelle1!$A$2:$C$496,3,0))</f>
        <v/>
      </c>
      <c r="E111" s="57" t="str">
        <f>IF(K111="","",VLOOKUP(F111,Tabelle1!$A$2:$M$496,13,0))</f>
        <v/>
      </c>
      <c r="F111" s="56"/>
      <c r="G111" s="57"/>
      <c r="H111" s="57"/>
      <c r="I111" s="57"/>
      <c r="J111" s="57"/>
      <c r="K111" s="57"/>
      <c r="L111" s="57" t="str">
        <f>IF(K111="","",VLOOKUP(F111,Tabelle1!$A$2:$I$496,9,0))</f>
        <v/>
      </c>
      <c r="M111" s="57" t="str">
        <f>IF(K111="","",VLOOKUP(F111,Tabelle1!$A$2:$G$496,7,0))</f>
        <v/>
      </c>
      <c r="N111" s="66" t="str">
        <f t="shared" si="4"/>
        <v/>
      </c>
      <c r="O111" s="66" t="str">
        <f>IF(K111="","",((K111*VLOOKUP(F111,Tabelle1!$A$2:$I$496,8,0))/$W$4))</f>
        <v/>
      </c>
      <c r="P111" s="76" t="str">
        <f>IF(K111="","",VLOOKUP(F111,Tabelle1!$A$2:$L$496,12,0))</f>
        <v/>
      </c>
    </row>
    <row r="112" spans="1:16">
      <c r="A112" s="67"/>
      <c r="B112" s="55" t="s">
        <v>361</v>
      </c>
      <c r="C112" s="55">
        <v>114</v>
      </c>
      <c r="D112" s="56" t="str">
        <f>IF(K112="","",VLOOKUP(F112,Tabelle1!$A$2:$C$496,3,0))</f>
        <v/>
      </c>
      <c r="E112" s="57" t="str">
        <f>IF(K112="","",VLOOKUP(F112,Tabelle1!$A$2:$M$496,13,0))</f>
        <v/>
      </c>
      <c r="F112" s="56"/>
      <c r="G112" s="57"/>
      <c r="H112" s="57"/>
      <c r="I112" s="57"/>
      <c r="J112" s="57"/>
      <c r="K112" s="57"/>
      <c r="L112" s="57" t="str">
        <f>IF(K112="","",VLOOKUP(F112,Tabelle1!$A$2:$I$496,9,0))</f>
        <v/>
      </c>
      <c r="M112" s="57" t="str">
        <f>IF(K112="","",VLOOKUP(F112,Tabelle1!$A$2:$G$496,7,0))</f>
        <v/>
      </c>
      <c r="N112" s="66" t="str">
        <f t="shared" si="4"/>
        <v/>
      </c>
      <c r="O112" s="66" t="str">
        <f>IF(K112="","",((K112*VLOOKUP(F112,Tabelle1!$A$2:$I$496,8,0))/$W$4))</f>
        <v/>
      </c>
      <c r="P112" s="76" t="str">
        <f>IF(K112="","",VLOOKUP(F112,Tabelle1!$A$2:$L$496,12,0))</f>
        <v/>
      </c>
    </row>
    <row r="113" spans="1:16">
      <c r="A113" s="67"/>
      <c r="B113" s="55" t="s">
        <v>361</v>
      </c>
      <c r="C113" s="55">
        <v>115</v>
      </c>
      <c r="D113" s="56" t="str">
        <f>IF(K113="","",VLOOKUP(F113,Tabelle1!$A$2:$C$496,3,0))</f>
        <v/>
      </c>
      <c r="E113" s="57" t="str">
        <f>IF(K113="","",VLOOKUP(F113,Tabelle1!$A$2:$M$496,13,0))</f>
        <v/>
      </c>
      <c r="F113" s="56"/>
      <c r="G113" s="57"/>
      <c r="H113" s="57"/>
      <c r="I113" s="57"/>
      <c r="J113" s="57"/>
      <c r="K113" s="57"/>
      <c r="L113" s="57" t="str">
        <f>IF(K113="","",VLOOKUP(F113,Tabelle1!$A$2:$I$496,9,0))</f>
        <v/>
      </c>
      <c r="M113" s="57" t="str">
        <f>IF(K113="","",VLOOKUP(F113,Tabelle1!$A$2:$G$496,7,0))</f>
        <v/>
      </c>
      <c r="N113" s="66" t="str">
        <f t="shared" si="4"/>
        <v/>
      </c>
      <c r="O113" s="66" t="str">
        <f>IF(K113="","",((K113*VLOOKUP(F113,Tabelle1!$A$2:$I$496,8,0))/$W$4))</f>
        <v/>
      </c>
      <c r="P113" s="76" t="str">
        <f>IF(K113="","",VLOOKUP(F113,Tabelle1!$A$2:$L$496,12,0))</f>
        <v/>
      </c>
    </row>
    <row r="114" spans="1:16">
      <c r="A114" s="67"/>
      <c r="B114" s="55" t="s">
        <v>361</v>
      </c>
      <c r="C114" s="55">
        <v>116</v>
      </c>
      <c r="D114" s="56" t="str">
        <f>IF(K114="","",VLOOKUP(F114,Tabelle1!$A$2:$C$496,3,0))</f>
        <v/>
      </c>
      <c r="E114" s="57" t="str">
        <f>IF(K114="","",VLOOKUP(F114,Tabelle1!$A$2:$M$496,13,0))</f>
        <v/>
      </c>
      <c r="F114" s="56"/>
      <c r="G114" s="57"/>
      <c r="H114" s="57"/>
      <c r="I114" s="57"/>
      <c r="J114" s="57"/>
      <c r="K114" s="57"/>
      <c r="L114" s="57" t="str">
        <f>IF(K114="","",VLOOKUP(F114,Tabelle1!$A$2:$I$496,9,0))</f>
        <v/>
      </c>
      <c r="M114" s="57" t="str">
        <f>IF(K114="","",VLOOKUP(F114,Tabelle1!$A$2:$G$496,7,0))</f>
        <v/>
      </c>
      <c r="N114" s="66" t="str">
        <f t="shared" si="4"/>
        <v/>
      </c>
      <c r="O114" s="66" t="str">
        <f>IF(K114="","",((K114*VLOOKUP(F114,Tabelle1!$A$2:$I$496,8,0))/$W$4))</f>
        <v/>
      </c>
      <c r="P114" s="76" t="str">
        <f>IF(K114="","",VLOOKUP(F114,Tabelle1!$A$2:$L$496,12,0))</f>
        <v/>
      </c>
    </row>
    <row r="115" spans="1:16">
      <c r="A115" s="67"/>
      <c r="B115" s="55" t="s">
        <v>361</v>
      </c>
      <c r="C115" s="55">
        <v>117</v>
      </c>
      <c r="D115" s="56" t="str">
        <f>IF(K115="","",VLOOKUP(F115,Tabelle1!$A$2:$C$496,3,0))</f>
        <v/>
      </c>
      <c r="E115" s="57" t="str">
        <f>IF(K115="","",VLOOKUP(F115,Tabelle1!$A$2:$M$496,13,0))</f>
        <v/>
      </c>
      <c r="F115" s="56"/>
      <c r="G115" s="57"/>
      <c r="H115" s="57"/>
      <c r="I115" s="57"/>
      <c r="J115" s="57"/>
      <c r="K115" s="57"/>
      <c r="L115" s="57" t="str">
        <f>IF(K115="","",VLOOKUP(F115,Tabelle1!$A$2:$I$496,9,0))</f>
        <v/>
      </c>
      <c r="M115" s="57" t="str">
        <f>IF(K115="","",VLOOKUP(F115,Tabelle1!$A$2:$G$496,7,0))</f>
        <v/>
      </c>
      <c r="N115" s="66" t="str">
        <f t="shared" si="4"/>
        <v/>
      </c>
      <c r="O115" s="66" t="str">
        <f>IF(K115="","",((K115*VLOOKUP(F115,Tabelle1!$A$2:$I$496,8,0))/$W$4))</f>
        <v/>
      </c>
      <c r="P115" s="76" t="str">
        <f>IF(K115="","",VLOOKUP(F115,Tabelle1!$A$2:$L$496,12,0))</f>
        <v/>
      </c>
    </row>
    <row r="116" spans="1:16">
      <c r="A116" s="67"/>
      <c r="B116" s="55" t="s">
        <v>361</v>
      </c>
      <c r="C116" s="55">
        <v>118</v>
      </c>
      <c r="D116" s="56" t="str">
        <f>IF(K116="","",VLOOKUP(F116,Tabelle1!$A$2:$C$496,3,0))</f>
        <v/>
      </c>
      <c r="E116" s="57" t="str">
        <f>IF(K116="","",VLOOKUP(F116,Tabelle1!$A$2:$M$496,13,0))</f>
        <v/>
      </c>
      <c r="F116" s="56"/>
      <c r="G116" s="57"/>
      <c r="H116" s="57"/>
      <c r="I116" s="57"/>
      <c r="J116" s="57"/>
      <c r="K116" s="57"/>
      <c r="L116" s="57" t="str">
        <f>IF(K116="","",VLOOKUP(F116,Tabelle1!$A$2:$I$496,9,0))</f>
        <v/>
      </c>
      <c r="M116" s="57" t="str">
        <f>IF(K116="","",VLOOKUP(F116,Tabelle1!$A$2:$G$496,7,0))</f>
        <v/>
      </c>
      <c r="N116" s="66" t="str">
        <f t="shared" si="4"/>
        <v/>
      </c>
      <c r="O116" s="66" t="str">
        <f>IF(K116="","",((K116*VLOOKUP(F116,Tabelle1!$A$2:$I$496,8,0))/$W$4))</f>
        <v/>
      </c>
      <c r="P116" s="76" t="str">
        <f>IF(K116="","",VLOOKUP(F116,Tabelle1!$A$2:$L$496,12,0))</f>
        <v/>
      </c>
    </row>
    <row r="117" spans="1:16">
      <c r="A117" s="67"/>
      <c r="B117" s="55" t="s">
        <v>361</v>
      </c>
      <c r="C117" s="55">
        <v>119</v>
      </c>
      <c r="D117" s="56" t="str">
        <f>IF(K117="","",VLOOKUP(F117,Tabelle1!$A$2:$C$496,3,0))</f>
        <v/>
      </c>
      <c r="E117" s="57" t="str">
        <f>IF(K117="","",VLOOKUP(F117,Tabelle1!$A$2:$M$496,13,0))</f>
        <v/>
      </c>
      <c r="F117" s="56"/>
      <c r="G117" s="57"/>
      <c r="H117" s="57"/>
      <c r="I117" s="57"/>
      <c r="J117" s="57"/>
      <c r="K117" s="57"/>
      <c r="L117" s="57" t="str">
        <f>IF(K117="","",VLOOKUP(F117,Tabelle1!$A$2:$I$496,9,0))</f>
        <v/>
      </c>
      <c r="M117" s="57" t="str">
        <f>IF(K117="","",VLOOKUP(F117,Tabelle1!$A$2:$G$496,7,0))</f>
        <v/>
      </c>
      <c r="N117" s="66" t="str">
        <f t="shared" si="4"/>
        <v/>
      </c>
      <c r="O117" s="66" t="str">
        <f>IF(K117="","",((K117*VLOOKUP(F117,Tabelle1!$A$2:$I$496,8,0))/$W$4))</f>
        <v/>
      </c>
      <c r="P117" s="76" t="str">
        <f>IF(K117="","",VLOOKUP(F117,Tabelle1!$A$2:$L$496,12,0))</f>
        <v/>
      </c>
    </row>
    <row r="118" spans="1:16">
      <c r="A118" s="67"/>
      <c r="B118" s="55" t="s">
        <v>361</v>
      </c>
      <c r="C118" s="55">
        <v>120</v>
      </c>
      <c r="D118" s="56" t="str">
        <f>IF(K118="","",VLOOKUP(F118,Tabelle1!$A$2:$C$496,3,0))</f>
        <v/>
      </c>
      <c r="E118" s="57" t="str">
        <f>IF(K118="","",VLOOKUP(F118,Tabelle1!$A$2:$M$496,13,0))</f>
        <v/>
      </c>
      <c r="F118" s="56"/>
      <c r="G118" s="57"/>
      <c r="H118" s="57"/>
      <c r="I118" s="57"/>
      <c r="J118" s="57"/>
      <c r="K118" s="57"/>
      <c r="L118" s="57" t="str">
        <f>IF(K118="","",VLOOKUP(F118,Tabelle1!$A$2:$I$496,9,0))</f>
        <v/>
      </c>
      <c r="M118" s="57" t="str">
        <f>IF(K118="","",VLOOKUP(F118,Tabelle1!$A$2:$G$496,7,0))</f>
        <v/>
      </c>
      <c r="N118" s="66" t="str">
        <f t="shared" si="4"/>
        <v/>
      </c>
      <c r="O118" s="66" t="str">
        <f>IF(K118="","",((K118*VLOOKUP(F118,Tabelle1!$A$2:$I$496,8,0))/$W$4))</f>
        <v/>
      </c>
      <c r="P118" s="76" t="str">
        <f>IF(K118="","",VLOOKUP(F118,Tabelle1!$A$2:$L$496,12,0))</f>
        <v/>
      </c>
    </row>
    <row r="119" spans="1:16">
      <c r="A119" s="67"/>
      <c r="B119" s="55" t="s">
        <v>361</v>
      </c>
      <c r="C119" s="55">
        <v>121</v>
      </c>
      <c r="D119" s="56" t="str">
        <f>IF(K119="","",VLOOKUP(F119,Tabelle1!$A$2:$C$496,3,0))</f>
        <v/>
      </c>
      <c r="E119" s="57" t="str">
        <f>IF(K119="","",VLOOKUP(F119,Tabelle1!$A$2:$M$496,13,0))</f>
        <v/>
      </c>
      <c r="F119" s="56"/>
      <c r="G119" s="57"/>
      <c r="H119" s="57"/>
      <c r="I119" s="57"/>
      <c r="J119" s="57"/>
      <c r="K119" s="57"/>
      <c r="L119" s="57" t="str">
        <f>IF(K119="","",VLOOKUP(F119,Tabelle1!$A$2:$I$496,9,0))</f>
        <v/>
      </c>
      <c r="M119" s="57" t="str">
        <f>IF(K119="","",VLOOKUP(F119,Tabelle1!$A$2:$G$496,7,0))</f>
        <v/>
      </c>
      <c r="N119" s="66" t="str">
        <f t="shared" si="4"/>
        <v/>
      </c>
      <c r="O119" s="66" t="str">
        <f>IF(K119="","",((K119*VLOOKUP(F119,Tabelle1!$A$2:$I$496,8,0))/$W$4))</f>
        <v/>
      </c>
      <c r="P119" s="76" t="str">
        <f>IF(K119="","",VLOOKUP(F119,Tabelle1!$A$2:$L$496,12,0))</f>
        <v/>
      </c>
    </row>
    <row r="120" spans="1:16">
      <c r="A120" s="67"/>
      <c r="B120" s="55" t="s">
        <v>361</v>
      </c>
      <c r="C120" s="55">
        <v>122</v>
      </c>
      <c r="D120" s="56" t="str">
        <f>IF(K120="","",VLOOKUP(F120,Tabelle1!$A$2:$C$496,3,0))</f>
        <v/>
      </c>
      <c r="E120" s="57" t="str">
        <f>IF(K120="","",VLOOKUP(F120,Tabelle1!$A$2:$M$496,13,0))</f>
        <v/>
      </c>
      <c r="F120" s="56"/>
      <c r="G120" s="57"/>
      <c r="H120" s="57"/>
      <c r="I120" s="57"/>
      <c r="J120" s="57"/>
      <c r="K120" s="57"/>
      <c r="L120" s="57" t="str">
        <f>IF(K120="","",VLOOKUP(F120,Tabelle1!$A$2:$I$496,9,0))</f>
        <v/>
      </c>
      <c r="M120" s="57" t="str">
        <f>IF(K120="","",VLOOKUP(F120,Tabelle1!$A$2:$G$496,7,0))</f>
        <v/>
      </c>
      <c r="N120" s="66" t="str">
        <f t="shared" si="4"/>
        <v/>
      </c>
      <c r="O120" s="66" t="str">
        <f>IF(K120="","",((K120*VLOOKUP(F120,Tabelle1!$A$2:$I$496,8,0))/$W$4))</f>
        <v/>
      </c>
      <c r="P120" s="76" t="str">
        <f>IF(K120="","",VLOOKUP(F120,Tabelle1!$A$2:$L$496,12,0))</f>
        <v/>
      </c>
    </row>
    <row r="121" spans="1:16">
      <c r="A121" s="67"/>
      <c r="B121" s="55" t="s">
        <v>361</v>
      </c>
      <c r="C121" s="55">
        <v>123</v>
      </c>
      <c r="D121" s="56" t="str">
        <f>IF(K121="","",VLOOKUP(F121,Tabelle1!$A$2:$C$496,3,0))</f>
        <v/>
      </c>
      <c r="E121" s="57" t="str">
        <f>IF(K121="","",VLOOKUP(F121,Tabelle1!$A$2:$M$496,13,0))</f>
        <v/>
      </c>
      <c r="F121" s="56"/>
      <c r="G121" s="57"/>
      <c r="H121" s="57"/>
      <c r="I121" s="57"/>
      <c r="J121" s="57"/>
      <c r="K121" s="57"/>
      <c r="L121" s="57" t="str">
        <f>IF(K121="","",VLOOKUP(F121,Tabelle1!$A$2:$I$496,9,0))</f>
        <v/>
      </c>
      <c r="M121" s="57" t="str">
        <f>IF(K121="","",VLOOKUP(F121,Tabelle1!$A$2:$G$496,7,0))</f>
        <v/>
      </c>
      <c r="N121" s="66" t="str">
        <f t="shared" si="4"/>
        <v/>
      </c>
      <c r="O121" s="66" t="str">
        <f>IF(K121="","",((K121*VLOOKUP(F121,Tabelle1!$A$2:$I$496,8,0))/$W$4))</f>
        <v/>
      </c>
      <c r="P121" s="76" t="str">
        <f>IF(K121="","",VLOOKUP(F121,Tabelle1!$A$2:$L$496,12,0))</f>
        <v/>
      </c>
    </row>
    <row r="122" spans="1:16">
      <c r="A122" s="67"/>
      <c r="B122" s="55" t="s">
        <v>361</v>
      </c>
      <c r="C122" s="55">
        <v>124</v>
      </c>
      <c r="D122" s="56" t="str">
        <f>IF(K122="","",VLOOKUP(F122,Tabelle1!$A$2:$C$496,3,0))</f>
        <v/>
      </c>
      <c r="E122" s="57" t="str">
        <f>IF(K122="","",VLOOKUP(F122,Tabelle1!$A$2:$M$496,13,0))</f>
        <v/>
      </c>
      <c r="F122" s="56"/>
      <c r="G122" s="57"/>
      <c r="H122" s="57"/>
      <c r="I122" s="57"/>
      <c r="J122" s="57"/>
      <c r="K122" s="57"/>
      <c r="L122" s="57" t="str">
        <f>IF(K122="","",VLOOKUP(F122,Tabelle1!$A$2:$I$496,9,0))</f>
        <v/>
      </c>
      <c r="M122" s="57" t="str">
        <f>IF(K122="","",VLOOKUP(F122,Tabelle1!$A$2:$G$496,7,0))</f>
        <v/>
      </c>
      <c r="N122" s="66" t="str">
        <f t="shared" si="4"/>
        <v/>
      </c>
      <c r="O122" s="66" t="str">
        <f>IF(K122="","",((K122*VLOOKUP(F122,Tabelle1!$A$2:$I$496,8,0))/$W$4))</f>
        <v/>
      </c>
      <c r="P122" s="76" t="str">
        <f>IF(K122="","",VLOOKUP(F122,Tabelle1!$A$2:$L$496,12,0))</f>
        <v/>
      </c>
    </row>
    <row r="123" spans="1:16">
      <c r="A123" s="67"/>
      <c r="B123" s="55" t="s">
        <v>361</v>
      </c>
      <c r="C123" s="55">
        <v>125</v>
      </c>
      <c r="D123" s="56" t="str">
        <f>IF(K123="","",VLOOKUP(F123,Tabelle1!$A$2:$C$496,3,0))</f>
        <v/>
      </c>
      <c r="E123" s="57" t="str">
        <f>IF(K123="","",VLOOKUP(F123,Tabelle1!$A$2:$M$496,13,0))</f>
        <v/>
      </c>
      <c r="F123" s="56"/>
      <c r="G123" s="57"/>
      <c r="H123" s="57"/>
      <c r="I123" s="57"/>
      <c r="J123" s="57"/>
      <c r="K123" s="57"/>
      <c r="L123" s="57" t="str">
        <f>IF(K123="","",VLOOKUP(F123,Tabelle1!$A$2:$I$496,9,0))</f>
        <v/>
      </c>
      <c r="M123" s="57" t="str">
        <f>IF(K123="","",VLOOKUP(F123,Tabelle1!$A$2:$G$496,7,0))</f>
        <v/>
      </c>
      <c r="N123" s="66" t="str">
        <f t="shared" si="4"/>
        <v/>
      </c>
      <c r="O123" s="66" t="str">
        <f>IF(K123="","",((K123*VLOOKUP(F123,Tabelle1!$A$2:$I$496,8,0))/$W$4))</f>
        <v/>
      </c>
      <c r="P123" s="76" t="str">
        <f>IF(K123="","",VLOOKUP(F123,Tabelle1!$A$2:$L$496,12,0))</f>
        <v/>
      </c>
    </row>
    <row r="124" spans="1:16">
      <c r="A124" s="67"/>
      <c r="B124" s="55" t="s">
        <v>361</v>
      </c>
      <c r="C124" s="55">
        <v>126</v>
      </c>
      <c r="D124" s="56" t="str">
        <f>IF(K124="","",VLOOKUP(F124,Tabelle1!$A$2:$C$496,3,0))</f>
        <v/>
      </c>
      <c r="E124" s="57" t="str">
        <f>IF(K124="","",VLOOKUP(F124,Tabelle1!$A$2:$M$496,13,0))</f>
        <v/>
      </c>
      <c r="F124" s="56"/>
      <c r="G124" s="57"/>
      <c r="H124" s="57"/>
      <c r="I124" s="57"/>
      <c r="J124" s="57"/>
      <c r="K124" s="57"/>
      <c r="L124" s="57" t="str">
        <f>IF(K124="","",VLOOKUP(F124,Tabelle1!$A$2:$I$496,9,0))</f>
        <v/>
      </c>
      <c r="M124" s="57" t="str">
        <f>IF(K124="","",VLOOKUP(F124,Tabelle1!$A$2:$G$496,7,0))</f>
        <v/>
      </c>
      <c r="N124" s="66" t="str">
        <f t="shared" si="4"/>
        <v/>
      </c>
      <c r="O124" s="66" t="str">
        <f>IF(K124="","",((K124*VLOOKUP(F124,Tabelle1!$A$2:$I$496,8,0))/$W$4))</f>
        <v/>
      </c>
      <c r="P124" s="76" t="str">
        <f>IF(K124="","",VLOOKUP(F124,Tabelle1!$A$2:$L$496,12,0))</f>
        <v/>
      </c>
    </row>
    <row r="125" spans="1:16">
      <c r="A125" s="67"/>
      <c r="B125" s="55" t="s">
        <v>361</v>
      </c>
      <c r="C125" s="55">
        <v>127</v>
      </c>
      <c r="D125" s="56" t="str">
        <f>IF(K125="","",VLOOKUP(F125,Tabelle1!$A$2:$C$496,3,0))</f>
        <v/>
      </c>
      <c r="E125" s="57" t="str">
        <f>IF(K125="","",VLOOKUP(F125,Tabelle1!$A$2:$M$496,13,0))</f>
        <v/>
      </c>
      <c r="F125" s="56"/>
      <c r="G125" s="57"/>
      <c r="H125" s="57"/>
      <c r="I125" s="57"/>
      <c r="J125" s="57"/>
      <c r="K125" s="57"/>
      <c r="L125" s="57" t="str">
        <f>IF(K125="","",VLOOKUP(F125,Tabelle1!$A$2:$I$496,9,0))</f>
        <v/>
      </c>
      <c r="M125" s="57" t="str">
        <f>IF(K125="","",VLOOKUP(F125,Tabelle1!$A$2:$G$496,7,0))</f>
        <v/>
      </c>
      <c r="N125" s="66" t="str">
        <f t="shared" si="4"/>
        <v/>
      </c>
      <c r="O125" s="66" t="str">
        <f>IF(K125="","",((K125*VLOOKUP(F125,Tabelle1!$A$2:$I$496,8,0))/$W$4))</f>
        <v/>
      </c>
      <c r="P125" s="76" t="str">
        <f>IF(K125="","",VLOOKUP(F125,Tabelle1!$A$2:$L$496,12,0))</f>
        <v/>
      </c>
    </row>
    <row r="126" spans="1:16">
      <c r="A126" s="67"/>
      <c r="B126" s="55" t="s">
        <v>361</v>
      </c>
      <c r="C126" s="55">
        <v>128</v>
      </c>
      <c r="D126" s="56" t="str">
        <f>IF(K126="","",VLOOKUP(F126,Tabelle1!$A$2:$C$496,3,0))</f>
        <v/>
      </c>
      <c r="E126" s="57" t="str">
        <f>IF(K126="","",VLOOKUP(F126,Tabelle1!$A$2:$M$496,13,0))</f>
        <v/>
      </c>
      <c r="F126" s="56"/>
      <c r="G126" s="57"/>
      <c r="H126" s="57"/>
      <c r="I126" s="57"/>
      <c r="J126" s="57"/>
      <c r="K126" s="57"/>
      <c r="L126" s="57" t="str">
        <f>IF(K126="","",VLOOKUP(F126,Tabelle1!$A$2:$I$496,9,0))</f>
        <v/>
      </c>
      <c r="M126" s="57" t="str">
        <f>IF(K126="","",VLOOKUP(F126,Tabelle1!$A$2:$G$496,7,0))</f>
        <v/>
      </c>
      <c r="N126" s="66" t="str">
        <f t="shared" si="4"/>
        <v/>
      </c>
      <c r="O126" s="66" t="str">
        <f>IF(K126="","",((K126*VLOOKUP(F126,Tabelle1!$A$2:$I$496,8,0))/$W$4))</f>
        <v/>
      </c>
      <c r="P126" s="76" t="str">
        <f>IF(K126="","",VLOOKUP(F126,Tabelle1!$A$2:$L$496,12,0))</f>
        <v/>
      </c>
    </row>
    <row r="127" spans="1:16">
      <c r="A127" s="67"/>
      <c r="B127" s="55" t="s">
        <v>361</v>
      </c>
      <c r="C127" s="55">
        <v>129</v>
      </c>
      <c r="D127" s="56" t="str">
        <f>IF(K127="","",VLOOKUP(F127,Tabelle1!$A$2:$C$496,3,0))</f>
        <v/>
      </c>
      <c r="E127" s="57" t="str">
        <f>IF(K127="","",VLOOKUP(F127,Tabelle1!$A$2:$M$496,13,0))</f>
        <v/>
      </c>
      <c r="F127" s="56"/>
      <c r="G127" s="57"/>
      <c r="H127" s="57"/>
      <c r="I127" s="57"/>
      <c r="J127" s="57"/>
      <c r="K127" s="57"/>
      <c r="L127" s="57" t="str">
        <f>IF(K127="","",VLOOKUP(F127,Tabelle1!$A$2:$I$496,9,0))</f>
        <v/>
      </c>
      <c r="M127" s="57" t="str">
        <f>IF(K127="","",VLOOKUP(F127,Tabelle1!$A$2:$G$496,7,0))</f>
        <v/>
      </c>
      <c r="N127" s="66" t="str">
        <f t="shared" si="4"/>
        <v/>
      </c>
      <c r="O127" s="66" t="str">
        <f>IF(K127="","",((K127*VLOOKUP(F127,Tabelle1!$A$2:$I$496,8,0))/$W$4))</f>
        <v/>
      </c>
      <c r="P127" s="76" t="str">
        <f>IF(K127="","",VLOOKUP(F127,Tabelle1!$A$2:$L$496,12,0))</f>
        <v/>
      </c>
    </row>
    <row r="128" spans="1:16">
      <c r="A128" s="67"/>
      <c r="B128" s="55" t="s">
        <v>361</v>
      </c>
      <c r="C128" s="55">
        <v>130</v>
      </c>
      <c r="D128" s="56" t="str">
        <f>IF(K128="","",VLOOKUP(F128,Tabelle1!$A$2:$C$496,3,0))</f>
        <v/>
      </c>
      <c r="E128" s="57" t="str">
        <f>IF(K128="","",VLOOKUP(F128,Tabelle1!$A$2:$M$496,13,0))</f>
        <v/>
      </c>
      <c r="F128" s="56"/>
      <c r="G128" s="57"/>
      <c r="H128" s="57"/>
      <c r="I128" s="57"/>
      <c r="J128" s="57"/>
      <c r="K128" s="57"/>
      <c r="L128" s="57" t="str">
        <f>IF(K128="","",VLOOKUP(F128,Tabelle1!$A$2:$I$496,9,0))</f>
        <v/>
      </c>
      <c r="M128" s="57" t="str">
        <f>IF(K128="","",VLOOKUP(F128,Tabelle1!$A$2:$G$496,7,0))</f>
        <v/>
      </c>
      <c r="N128" s="66" t="str">
        <f t="shared" si="4"/>
        <v/>
      </c>
      <c r="O128" s="66" t="str">
        <f>IF(K128="","",((K128*VLOOKUP(F128,Tabelle1!$A$2:$I$496,8,0))/$W$4))</f>
        <v/>
      </c>
      <c r="P128" s="76" t="str">
        <f>IF(K128="","",VLOOKUP(F128,Tabelle1!$A$2:$L$496,12,0))</f>
        <v/>
      </c>
    </row>
    <row r="129" spans="1:16">
      <c r="A129" s="67"/>
      <c r="B129" s="55" t="s">
        <v>361</v>
      </c>
      <c r="C129" s="55">
        <v>131</v>
      </c>
      <c r="D129" s="56" t="str">
        <f>IF(K129="","",VLOOKUP(F129,Tabelle1!$A$2:$C$496,3,0))</f>
        <v/>
      </c>
      <c r="E129" s="57" t="str">
        <f>IF(K129="","",VLOOKUP(F129,Tabelle1!$A$2:$M$496,13,0))</f>
        <v/>
      </c>
      <c r="F129" s="56"/>
      <c r="G129" s="57"/>
      <c r="H129" s="57"/>
      <c r="I129" s="57"/>
      <c r="J129" s="57"/>
      <c r="K129" s="57"/>
      <c r="L129" s="57" t="str">
        <f>IF(K129="","",VLOOKUP(F129,Tabelle1!$A$2:$I$496,9,0))</f>
        <v/>
      </c>
      <c r="M129" s="57" t="str">
        <f>IF(K129="","",VLOOKUP(F129,Tabelle1!$A$2:$G$496,7,0))</f>
        <v/>
      </c>
      <c r="N129" s="66" t="str">
        <f t="shared" si="4"/>
        <v/>
      </c>
      <c r="O129" s="66" t="str">
        <f>IF(K129="","",((K129*VLOOKUP(F129,Tabelle1!$A$2:$I$496,8,0))/$W$4))</f>
        <v/>
      </c>
      <c r="P129" s="76" t="str">
        <f>IF(K129="","",VLOOKUP(F129,Tabelle1!$A$2:$L$496,12,0))</f>
        <v/>
      </c>
    </row>
    <row r="130" spans="1:16">
      <c r="A130" s="67"/>
      <c r="B130" s="55" t="s">
        <v>361</v>
      </c>
      <c r="C130" s="55">
        <v>132</v>
      </c>
      <c r="D130" s="56" t="str">
        <f>IF(K130="","",VLOOKUP(F130,Tabelle1!$A$2:$C$496,3,0))</f>
        <v/>
      </c>
      <c r="E130" s="57" t="str">
        <f>IF(K130="","",VLOOKUP(F130,Tabelle1!$A$2:$M$496,13,0))</f>
        <v/>
      </c>
      <c r="F130" s="56"/>
      <c r="G130" s="57"/>
      <c r="H130" s="57"/>
      <c r="I130" s="57"/>
      <c r="J130" s="57"/>
      <c r="K130" s="57"/>
      <c r="L130" s="57" t="str">
        <f>IF(K130="","",VLOOKUP(F130,Tabelle1!$A$2:$I$496,9,0))</f>
        <v/>
      </c>
      <c r="M130" s="57" t="str">
        <f>IF(K130="","",VLOOKUP(F130,Tabelle1!$A$2:$G$496,7,0))</f>
        <v/>
      </c>
      <c r="N130" s="66" t="str">
        <f t="shared" si="4"/>
        <v/>
      </c>
      <c r="O130" s="66" t="str">
        <f>IF(K130="","",((K130*VLOOKUP(F130,Tabelle1!$A$2:$I$496,8,0))/$W$4))</f>
        <v/>
      </c>
      <c r="P130" s="76" t="str">
        <f>IF(K130="","",VLOOKUP(F130,Tabelle1!$A$2:$L$496,12,0))</f>
        <v/>
      </c>
    </row>
    <row r="131" spans="1:16">
      <c r="A131" s="67"/>
      <c r="B131" s="55" t="s">
        <v>361</v>
      </c>
      <c r="C131" s="55">
        <v>133</v>
      </c>
      <c r="D131" s="56" t="str">
        <f>IF(K131="","",VLOOKUP(F131,Tabelle1!$A$2:$C$496,3,0))</f>
        <v/>
      </c>
      <c r="E131" s="57" t="str">
        <f>IF(K131="","",VLOOKUP(F131,Tabelle1!$A$2:$M$496,13,0))</f>
        <v/>
      </c>
      <c r="F131" s="56"/>
      <c r="G131" s="57"/>
      <c r="H131" s="57"/>
      <c r="I131" s="57"/>
      <c r="J131" s="57"/>
      <c r="K131" s="57"/>
      <c r="L131" s="57" t="str">
        <f>IF(K131="","",VLOOKUP(F131,Tabelle1!$A$2:$I$496,9,0))</f>
        <v/>
      </c>
      <c r="M131" s="57" t="str">
        <f>IF(K131="","",VLOOKUP(F131,Tabelle1!$A$2:$G$496,7,0))</f>
        <v/>
      </c>
      <c r="N131" s="66" t="str">
        <f t="shared" si="4"/>
        <v/>
      </c>
      <c r="O131" s="66" t="str">
        <f>IF(K131="","",((K131*VLOOKUP(F131,Tabelle1!$A$2:$I$496,8,0))/$W$4))</f>
        <v/>
      </c>
      <c r="P131" s="76" t="str">
        <f>IF(K131="","",VLOOKUP(F131,Tabelle1!$A$2:$L$496,12,0))</f>
        <v/>
      </c>
    </row>
    <row r="132" spans="1:16">
      <c r="A132" s="67"/>
      <c r="B132" s="55" t="s">
        <v>361</v>
      </c>
      <c r="C132" s="55">
        <v>134</v>
      </c>
      <c r="D132" s="56" t="str">
        <f>IF(K132="","",VLOOKUP(F132,Tabelle1!$A$2:$C$496,3,0))</f>
        <v/>
      </c>
      <c r="E132" s="57" t="str">
        <f>IF(K132="","",VLOOKUP(F132,Tabelle1!$A$2:$M$496,13,0))</f>
        <v/>
      </c>
      <c r="F132" s="56"/>
      <c r="G132" s="57"/>
      <c r="H132" s="57"/>
      <c r="I132" s="57"/>
      <c r="J132" s="57"/>
      <c r="K132" s="57"/>
      <c r="L132" s="57" t="str">
        <f>IF(K132="","",VLOOKUP(F132,Tabelle1!$A$2:$I$496,9,0))</f>
        <v/>
      </c>
      <c r="M132" s="57" t="str">
        <f>IF(K132="","",VLOOKUP(F132,Tabelle1!$A$2:$G$496,7,0))</f>
        <v/>
      </c>
      <c r="N132" s="66" t="str">
        <f t="shared" si="4"/>
        <v/>
      </c>
      <c r="O132" s="66" t="str">
        <f>IF(K132="","",((K132*VLOOKUP(F132,Tabelle1!$A$2:$I$496,8,0))/$W$4))</f>
        <v/>
      </c>
      <c r="P132" s="76" t="str">
        <f>IF(K132="","",VLOOKUP(F132,Tabelle1!$A$2:$L$496,12,0))</f>
        <v/>
      </c>
    </row>
    <row r="133" spans="1:16">
      <c r="A133" s="67"/>
      <c r="B133" s="55" t="s">
        <v>361</v>
      </c>
      <c r="C133" s="55">
        <v>135</v>
      </c>
      <c r="D133" s="56" t="str">
        <f>IF(K133="","",VLOOKUP(F133,Tabelle1!$A$2:$C$496,3,0))</f>
        <v/>
      </c>
      <c r="E133" s="57" t="str">
        <f>IF(K133="","",VLOOKUP(F133,Tabelle1!$A$2:$M$496,13,0))</f>
        <v/>
      </c>
      <c r="F133" s="56"/>
      <c r="G133" s="57"/>
      <c r="H133" s="57"/>
      <c r="I133" s="57"/>
      <c r="J133" s="57"/>
      <c r="K133" s="57"/>
      <c r="L133" s="57" t="str">
        <f>IF(K133="","",VLOOKUP(F133,Tabelle1!$A$2:$I$496,9,0))</f>
        <v/>
      </c>
      <c r="M133" s="57" t="str">
        <f>IF(K133="","",VLOOKUP(F133,Tabelle1!$A$2:$G$496,7,0))</f>
        <v/>
      </c>
      <c r="N133" s="66" t="str">
        <f t="shared" ref="N133:N196" si="5">IF(M133&gt;0,O133,"")</f>
        <v/>
      </c>
      <c r="O133" s="66" t="str">
        <f>IF(K133="","",((K133*VLOOKUP(F133,Tabelle1!$A$2:$I$496,8,0))/$W$4))</f>
        <v/>
      </c>
      <c r="P133" s="76" t="str">
        <f>IF(K133="","",VLOOKUP(F133,Tabelle1!$A$2:$L$496,12,0))</f>
        <v/>
      </c>
    </row>
    <row r="134" spans="1:16">
      <c r="A134" s="67"/>
      <c r="B134" s="55" t="s">
        <v>361</v>
      </c>
      <c r="C134" s="55">
        <v>136</v>
      </c>
      <c r="D134" s="56" t="str">
        <f>IF(K134="","",VLOOKUP(F134,Tabelle1!$A$2:$C$496,3,0))</f>
        <v/>
      </c>
      <c r="E134" s="57" t="str">
        <f>IF(K134="","",VLOOKUP(F134,Tabelle1!$A$2:$M$496,13,0))</f>
        <v/>
      </c>
      <c r="F134" s="56"/>
      <c r="G134" s="57"/>
      <c r="H134" s="57"/>
      <c r="I134" s="57"/>
      <c r="J134" s="57"/>
      <c r="K134" s="57"/>
      <c r="L134" s="57" t="str">
        <f>IF(K134="","",VLOOKUP(F134,Tabelle1!$A$2:$I$496,9,0))</f>
        <v/>
      </c>
      <c r="M134" s="57" t="str">
        <f>IF(K134="","",VLOOKUP(F134,Tabelle1!$A$2:$G$496,7,0))</f>
        <v/>
      </c>
      <c r="N134" s="66" t="str">
        <f t="shared" si="5"/>
        <v/>
      </c>
      <c r="O134" s="66" t="str">
        <f>IF(K134="","",((K134*VLOOKUP(F134,Tabelle1!$A$2:$I$496,8,0))/$W$4))</f>
        <v/>
      </c>
      <c r="P134" s="76" t="str">
        <f>IF(K134="","",VLOOKUP(F134,Tabelle1!$A$2:$L$496,12,0))</f>
        <v/>
      </c>
    </row>
    <row r="135" spans="1:16">
      <c r="A135" s="67"/>
      <c r="B135" s="55" t="s">
        <v>361</v>
      </c>
      <c r="C135" s="55">
        <v>137</v>
      </c>
      <c r="D135" s="56" t="str">
        <f>IF(K135="","",VLOOKUP(F135,Tabelle1!$A$2:$C$496,3,0))</f>
        <v/>
      </c>
      <c r="E135" s="57" t="str">
        <f>IF(K135="","",VLOOKUP(F135,Tabelle1!$A$2:$M$496,13,0))</f>
        <v/>
      </c>
      <c r="F135" s="56"/>
      <c r="G135" s="57"/>
      <c r="H135" s="57"/>
      <c r="I135" s="57"/>
      <c r="J135" s="57"/>
      <c r="K135" s="57"/>
      <c r="L135" s="57" t="str">
        <f>IF(K135="","",VLOOKUP(F135,Tabelle1!$A$2:$I$496,9,0))</f>
        <v/>
      </c>
      <c r="M135" s="57" t="str">
        <f>IF(K135="","",VLOOKUP(F135,Tabelle1!$A$2:$G$496,7,0))</f>
        <v/>
      </c>
      <c r="N135" s="66" t="str">
        <f t="shared" si="5"/>
        <v/>
      </c>
      <c r="O135" s="66" t="str">
        <f>IF(K135="","",((K135*VLOOKUP(F135,Tabelle1!$A$2:$I$496,8,0))/$W$4))</f>
        <v/>
      </c>
      <c r="P135" s="76" t="str">
        <f>IF(K135="","",VLOOKUP(F135,Tabelle1!$A$2:$L$496,12,0))</f>
        <v/>
      </c>
    </row>
    <row r="136" spans="1:16">
      <c r="A136" s="67"/>
      <c r="B136" s="55" t="s">
        <v>361</v>
      </c>
      <c r="C136" s="55">
        <v>138</v>
      </c>
      <c r="D136" s="56" t="str">
        <f>IF(K136="","",VLOOKUP(F136,Tabelle1!$A$2:$C$496,3,0))</f>
        <v/>
      </c>
      <c r="E136" s="57" t="str">
        <f>IF(K136="","",VLOOKUP(F136,Tabelle1!$A$2:$M$496,13,0))</f>
        <v/>
      </c>
      <c r="F136" s="56"/>
      <c r="G136" s="57"/>
      <c r="H136" s="57"/>
      <c r="I136" s="57"/>
      <c r="J136" s="57"/>
      <c r="K136" s="57"/>
      <c r="L136" s="57" t="str">
        <f>IF(K136="","",VLOOKUP(F136,Tabelle1!$A$2:$I$496,9,0))</f>
        <v/>
      </c>
      <c r="M136" s="57" t="str">
        <f>IF(K136="","",VLOOKUP(F136,Tabelle1!$A$2:$G$496,7,0))</f>
        <v/>
      </c>
      <c r="N136" s="66" t="str">
        <f t="shared" si="5"/>
        <v/>
      </c>
      <c r="O136" s="66" t="str">
        <f>IF(K136="","",((K136*VLOOKUP(F136,Tabelle1!$A$2:$I$496,8,0))/$W$4))</f>
        <v/>
      </c>
      <c r="P136" s="76" t="str">
        <f>IF(K136="","",VLOOKUP(F136,Tabelle1!$A$2:$L$496,12,0))</f>
        <v/>
      </c>
    </row>
    <row r="137" spans="1:16">
      <c r="A137" s="67"/>
      <c r="B137" s="55" t="s">
        <v>361</v>
      </c>
      <c r="C137" s="55">
        <v>139</v>
      </c>
      <c r="D137" s="56" t="str">
        <f>IF(K137="","",VLOOKUP(F137,Tabelle1!$A$2:$C$496,3,0))</f>
        <v/>
      </c>
      <c r="E137" s="57" t="str">
        <f>IF(K137="","",VLOOKUP(F137,Tabelle1!$A$2:$M$496,13,0))</f>
        <v/>
      </c>
      <c r="F137" s="56"/>
      <c r="G137" s="57"/>
      <c r="H137" s="57"/>
      <c r="I137" s="57"/>
      <c r="J137" s="57"/>
      <c r="K137" s="57"/>
      <c r="L137" s="57" t="str">
        <f>IF(K137="","",VLOOKUP(F137,Tabelle1!$A$2:$I$496,9,0))</f>
        <v/>
      </c>
      <c r="M137" s="57" t="str">
        <f>IF(K137="","",VLOOKUP(F137,Tabelle1!$A$2:$G$496,7,0))</f>
        <v/>
      </c>
      <c r="N137" s="66" t="str">
        <f t="shared" si="5"/>
        <v/>
      </c>
      <c r="O137" s="66" t="str">
        <f>IF(K137="","",((K137*VLOOKUP(F137,Tabelle1!$A$2:$I$496,8,0))/$W$4))</f>
        <v/>
      </c>
      <c r="P137" s="76" t="str">
        <f>IF(K137="","",VLOOKUP(F137,Tabelle1!$A$2:$L$496,12,0))</f>
        <v/>
      </c>
    </row>
    <row r="138" spans="1:16">
      <c r="A138" s="67"/>
      <c r="B138" s="55" t="s">
        <v>361</v>
      </c>
      <c r="C138" s="55">
        <v>140</v>
      </c>
      <c r="D138" s="56" t="str">
        <f>IF(K138="","",VLOOKUP(F138,Tabelle1!$A$2:$C$496,3,0))</f>
        <v/>
      </c>
      <c r="E138" s="57" t="str">
        <f>IF(K138="","",VLOOKUP(F138,Tabelle1!$A$2:$M$496,13,0))</f>
        <v/>
      </c>
      <c r="F138" s="56"/>
      <c r="G138" s="57"/>
      <c r="H138" s="57"/>
      <c r="I138" s="57"/>
      <c r="J138" s="57"/>
      <c r="K138" s="57"/>
      <c r="L138" s="57" t="str">
        <f>IF(K138="","",VLOOKUP(F138,Tabelle1!$A$2:$I$496,9,0))</f>
        <v/>
      </c>
      <c r="M138" s="57" t="str">
        <f>IF(K138="","",VLOOKUP(F138,Tabelle1!$A$2:$G$496,7,0))</f>
        <v/>
      </c>
      <c r="N138" s="66" t="str">
        <f t="shared" si="5"/>
        <v/>
      </c>
      <c r="O138" s="66" t="str">
        <f>IF(K138="","",((K138*VLOOKUP(F138,Tabelle1!$A$2:$I$496,8,0))/$W$4))</f>
        <v/>
      </c>
      <c r="P138" s="76" t="str">
        <f>IF(K138="","",VLOOKUP(F138,Tabelle1!$A$2:$L$496,12,0))</f>
        <v/>
      </c>
    </row>
    <row r="139" spans="1:16">
      <c r="A139" s="67"/>
      <c r="B139" s="55" t="s">
        <v>361</v>
      </c>
      <c r="C139" s="55">
        <v>141</v>
      </c>
      <c r="D139" s="56" t="str">
        <f>IF(K139="","",VLOOKUP(F139,Tabelle1!$A$2:$C$496,3,0))</f>
        <v/>
      </c>
      <c r="E139" s="57" t="str">
        <f>IF(K139="","",VLOOKUP(F139,Tabelle1!$A$2:$M$496,13,0))</f>
        <v/>
      </c>
      <c r="F139" s="56"/>
      <c r="G139" s="57"/>
      <c r="H139" s="57"/>
      <c r="I139" s="57"/>
      <c r="J139" s="57"/>
      <c r="K139" s="57"/>
      <c r="L139" s="57" t="str">
        <f>IF(K139="","",VLOOKUP(F139,Tabelle1!$A$2:$I$496,9,0))</f>
        <v/>
      </c>
      <c r="M139" s="57" t="str">
        <f>IF(K139="","",VLOOKUP(F139,Tabelle1!$A$2:$G$496,7,0))</f>
        <v/>
      </c>
      <c r="N139" s="66" t="str">
        <f t="shared" si="5"/>
        <v/>
      </c>
      <c r="O139" s="66" t="str">
        <f>IF(K139="","",((K139*VLOOKUP(F139,Tabelle1!$A$2:$I$496,8,0))/$W$4))</f>
        <v/>
      </c>
      <c r="P139" s="76" t="str">
        <f>IF(K139="","",VLOOKUP(F139,Tabelle1!$A$2:$L$496,12,0))</f>
        <v/>
      </c>
    </row>
    <row r="140" spans="1:16">
      <c r="A140" s="67"/>
      <c r="B140" s="55" t="s">
        <v>361</v>
      </c>
      <c r="C140" s="55">
        <v>142</v>
      </c>
      <c r="D140" s="56" t="str">
        <f>IF(K140="","",VLOOKUP(F140,Tabelle1!$A$2:$C$496,3,0))</f>
        <v/>
      </c>
      <c r="E140" s="57" t="str">
        <f>IF(K140="","",VLOOKUP(F140,Tabelle1!$A$2:$M$496,13,0))</f>
        <v/>
      </c>
      <c r="F140" s="56"/>
      <c r="G140" s="57"/>
      <c r="H140" s="57"/>
      <c r="I140" s="57"/>
      <c r="J140" s="57"/>
      <c r="K140" s="57"/>
      <c r="L140" s="57" t="str">
        <f>IF(K140="","",VLOOKUP(F140,Tabelle1!$A$2:$I$496,9,0))</f>
        <v/>
      </c>
      <c r="M140" s="57" t="str">
        <f>IF(K140="","",VLOOKUP(F140,Tabelle1!$A$2:$G$496,7,0))</f>
        <v/>
      </c>
      <c r="N140" s="66" t="str">
        <f t="shared" si="5"/>
        <v/>
      </c>
      <c r="O140" s="66" t="str">
        <f>IF(K140="","",((K140*VLOOKUP(F140,Tabelle1!$A$2:$I$496,8,0))/$W$4))</f>
        <v/>
      </c>
      <c r="P140" s="76" t="str">
        <f>IF(K140="","",VLOOKUP(F140,Tabelle1!$A$2:$L$496,12,0))</f>
        <v/>
      </c>
    </row>
    <row r="141" spans="1:16">
      <c r="A141" s="67"/>
      <c r="B141" s="55" t="s">
        <v>361</v>
      </c>
      <c r="C141" s="55">
        <v>143</v>
      </c>
      <c r="D141" s="56" t="str">
        <f>IF(K141="","",VLOOKUP(F141,Tabelle1!$A$2:$C$496,3,0))</f>
        <v/>
      </c>
      <c r="E141" s="57" t="str">
        <f>IF(K141="","",VLOOKUP(F141,Tabelle1!$A$2:$M$496,13,0))</f>
        <v/>
      </c>
      <c r="F141" s="56"/>
      <c r="G141" s="57"/>
      <c r="H141" s="57"/>
      <c r="I141" s="57"/>
      <c r="J141" s="57"/>
      <c r="K141" s="57"/>
      <c r="L141" s="57" t="str">
        <f>IF(K141="","",VLOOKUP(F141,Tabelle1!$A$2:$I$496,9,0))</f>
        <v/>
      </c>
      <c r="M141" s="57" t="str">
        <f>IF(K141="","",VLOOKUP(F141,Tabelle1!$A$2:$G$496,7,0))</f>
        <v/>
      </c>
      <c r="N141" s="66" t="str">
        <f t="shared" si="5"/>
        <v/>
      </c>
      <c r="O141" s="66" t="str">
        <f>IF(K141="","",((K141*VLOOKUP(F141,Tabelle1!$A$2:$I$496,8,0))/$W$4))</f>
        <v/>
      </c>
      <c r="P141" s="76" t="str">
        <f>IF(K141="","",VLOOKUP(F141,Tabelle1!$A$2:$L$496,12,0))</f>
        <v/>
      </c>
    </row>
    <row r="142" spans="1:16">
      <c r="A142" s="67"/>
      <c r="B142" s="55" t="s">
        <v>361</v>
      </c>
      <c r="C142" s="55">
        <v>144</v>
      </c>
      <c r="D142" s="56" t="str">
        <f>IF(K142="","",VLOOKUP(F142,Tabelle1!$A$2:$C$496,3,0))</f>
        <v/>
      </c>
      <c r="E142" s="57" t="str">
        <f>IF(K142="","",VLOOKUP(F142,Tabelle1!$A$2:$M$496,13,0))</f>
        <v/>
      </c>
      <c r="F142" s="56"/>
      <c r="G142" s="57"/>
      <c r="H142" s="57"/>
      <c r="I142" s="57"/>
      <c r="J142" s="57"/>
      <c r="K142" s="57"/>
      <c r="L142" s="57" t="str">
        <f>IF(K142="","",VLOOKUP(F142,Tabelle1!$A$2:$I$496,9,0))</f>
        <v/>
      </c>
      <c r="M142" s="57" t="str">
        <f>IF(K142="","",VLOOKUP(F142,Tabelle1!$A$2:$G$496,7,0))</f>
        <v/>
      </c>
      <c r="N142" s="66" t="str">
        <f t="shared" si="5"/>
        <v/>
      </c>
      <c r="O142" s="66" t="str">
        <f>IF(K142="","",((K142*VLOOKUP(F142,Tabelle1!$A$2:$I$496,8,0))/$W$4))</f>
        <v/>
      </c>
      <c r="P142" s="76" t="str">
        <f>IF(K142="","",VLOOKUP(F142,Tabelle1!$A$2:$L$496,12,0))</f>
        <v/>
      </c>
    </row>
    <row r="143" spans="1:16">
      <c r="A143" s="67"/>
      <c r="B143" s="55" t="s">
        <v>361</v>
      </c>
      <c r="C143" s="55">
        <v>145</v>
      </c>
      <c r="D143" s="56" t="str">
        <f>IF(K143="","",VLOOKUP(F143,Tabelle1!$A$2:$C$496,3,0))</f>
        <v/>
      </c>
      <c r="E143" s="57" t="str">
        <f>IF(K143="","",VLOOKUP(F143,Tabelle1!$A$2:$M$496,13,0))</f>
        <v/>
      </c>
      <c r="F143" s="56"/>
      <c r="G143" s="57"/>
      <c r="H143" s="57"/>
      <c r="I143" s="57"/>
      <c r="J143" s="57"/>
      <c r="K143" s="57"/>
      <c r="L143" s="57" t="str">
        <f>IF(K143="","",VLOOKUP(F143,Tabelle1!$A$2:$I$496,9,0))</f>
        <v/>
      </c>
      <c r="M143" s="57" t="str">
        <f>IF(K143="","",VLOOKUP(F143,Tabelle1!$A$2:$G$496,7,0))</f>
        <v/>
      </c>
      <c r="N143" s="66" t="str">
        <f t="shared" si="5"/>
        <v/>
      </c>
      <c r="O143" s="66" t="str">
        <f>IF(K143="","",((K143*VLOOKUP(F143,Tabelle1!$A$2:$I$496,8,0))/$W$4))</f>
        <v/>
      </c>
      <c r="P143" s="76" t="str">
        <f>IF(K143="","",VLOOKUP(F143,Tabelle1!$A$2:$L$496,12,0))</f>
        <v/>
      </c>
    </row>
    <row r="144" spans="1:16">
      <c r="A144" s="67"/>
      <c r="B144" s="55" t="s">
        <v>361</v>
      </c>
      <c r="C144" s="55">
        <v>146</v>
      </c>
      <c r="D144" s="56" t="str">
        <f>IF(K144="","",VLOOKUP(F144,Tabelle1!$A$2:$C$496,3,0))</f>
        <v/>
      </c>
      <c r="E144" s="57" t="str">
        <f>IF(K144="","",VLOOKUP(F144,Tabelle1!$A$2:$M$496,13,0))</f>
        <v/>
      </c>
      <c r="F144" s="56"/>
      <c r="G144" s="57"/>
      <c r="H144" s="57"/>
      <c r="I144" s="57"/>
      <c r="J144" s="57"/>
      <c r="K144" s="57"/>
      <c r="L144" s="57" t="str">
        <f>IF(K144="","",VLOOKUP(F144,Tabelle1!$A$2:$I$496,9,0))</f>
        <v/>
      </c>
      <c r="M144" s="57" t="str">
        <f>IF(K144="","",VLOOKUP(F144,Tabelle1!$A$2:$G$496,7,0))</f>
        <v/>
      </c>
      <c r="N144" s="66" t="str">
        <f t="shared" si="5"/>
        <v/>
      </c>
      <c r="O144" s="66" t="str">
        <f>IF(K144="","",((K144*VLOOKUP(F144,Tabelle1!$A$2:$I$496,8,0))/$W$4))</f>
        <v/>
      </c>
      <c r="P144" s="76" t="str">
        <f>IF(K144="","",VLOOKUP(F144,Tabelle1!$A$2:$L$496,12,0))</f>
        <v/>
      </c>
    </row>
    <row r="145" spans="1:16">
      <c r="A145" s="67"/>
      <c r="B145" s="55" t="s">
        <v>361</v>
      </c>
      <c r="C145" s="55">
        <v>147</v>
      </c>
      <c r="D145" s="56" t="str">
        <f>IF(K145="","",VLOOKUP(F145,Tabelle1!$A$2:$C$496,3,0))</f>
        <v/>
      </c>
      <c r="E145" s="57" t="str">
        <f>IF(K145="","",VLOOKUP(F145,Tabelle1!$A$2:$M$496,13,0))</f>
        <v/>
      </c>
      <c r="F145" s="56"/>
      <c r="G145" s="57"/>
      <c r="H145" s="57"/>
      <c r="I145" s="57"/>
      <c r="J145" s="57"/>
      <c r="K145" s="57"/>
      <c r="L145" s="57" t="str">
        <f>IF(K145="","",VLOOKUP(F145,Tabelle1!$A$2:$I$496,9,0))</f>
        <v/>
      </c>
      <c r="M145" s="57" t="str">
        <f>IF(K145="","",VLOOKUP(F145,Tabelle1!$A$2:$G$496,7,0))</f>
        <v/>
      </c>
      <c r="N145" s="66" t="str">
        <f t="shared" si="5"/>
        <v/>
      </c>
      <c r="O145" s="66" t="str">
        <f>IF(K145="","",((K145*VLOOKUP(F145,Tabelle1!$A$2:$I$496,8,0))/$W$4))</f>
        <v/>
      </c>
      <c r="P145" s="76" t="str">
        <f>IF(K145="","",VLOOKUP(F145,Tabelle1!$A$2:$L$496,12,0))</f>
        <v/>
      </c>
    </row>
    <row r="146" spans="1:16">
      <c r="A146" s="67"/>
      <c r="B146" s="55" t="s">
        <v>361</v>
      </c>
      <c r="C146" s="55">
        <v>148</v>
      </c>
      <c r="D146" s="56" t="str">
        <f>IF(K146="","",VLOOKUP(F146,Tabelle1!$A$2:$C$496,3,0))</f>
        <v/>
      </c>
      <c r="E146" s="57" t="str">
        <f>IF(K146="","",VLOOKUP(F146,Tabelle1!$A$2:$M$496,13,0))</f>
        <v/>
      </c>
      <c r="F146" s="56"/>
      <c r="G146" s="57"/>
      <c r="H146" s="57"/>
      <c r="I146" s="57"/>
      <c r="J146" s="57"/>
      <c r="K146" s="57"/>
      <c r="L146" s="57" t="str">
        <f>IF(K146="","",VLOOKUP(F146,Tabelle1!$A$2:$I$496,9,0))</f>
        <v/>
      </c>
      <c r="M146" s="57" t="str">
        <f>IF(K146="","",VLOOKUP(F146,Tabelle1!$A$2:$G$496,7,0))</f>
        <v/>
      </c>
      <c r="N146" s="66" t="str">
        <f t="shared" si="5"/>
        <v/>
      </c>
      <c r="O146" s="66" t="str">
        <f>IF(K146="","",((K146*VLOOKUP(F146,Tabelle1!$A$2:$I$496,8,0))/$W$4))</f>
        <v/>
      </c>
      <c r="P146" s="76" t="str">
        <f>IF(K146="","",VLOOKUP(F146,Tabelle1!$A$2:$L$496,12,0))</f>
        <v/>
      </c>
    </row>
    <row r="147" spans="1:16">
      <c r="A147" s="67"/>
      <c r="B147" s="55" t="s">
        <v>361</v>
      </c>
      <c r="C147" s="55">
        <v>149</v>
      </c>
      <c r="D147" s="56" t="str">
        <f>IF(K147="","",VLOOKUP(F147,Tabelle1!$A$2:$C$496,3,0))</f>
        <v/>
      </c>
      <c r="E147" s="57" t="str">
        <f>IF(K147="","",VLOOKUP(F147,Tabelle1!$A$2:$M$496,13,0))</f>
        <v/>
      </c>
      <c r="F147" s="56"/>
      <c r="G147" s="57"/>
      <c r="H147" s="57"/>
      <c r="I147" s="57"/>
      <c r="J147" s="57"/>
      <c r="K147" s="57"/>
      <c r="L147" s="57" t="str">
        <f>IF(K147="","",VLOOKUP(F147,Tabelle1!$A$2:$I$496,9,0))</f>
        <v/>
      </c>
      <c r="M147" s="57" t="str">
        <f>IF(K147="","",VLOOKUP(F147,Tabelle1!$A$2:$G$496,7,0))</f>
        <v/>
      </c>
      <c r="N147" s="66" t="str">
        <f t="shared" si="5"/>
        <v/>
      </c>
      <c r="O147" s="66" t="str">
        <f>IF(K147="","",((K147*VLOOKUP(F147,Tabelle1!$A$2:$I$496,8,0))/$W$4))</f>
        <v/>
      </c>
      <c r="P147" s="76" t="str">
        <f>IF(K147="","",VLOOKUP(F147,Tabelle1!$A$2:$L$496,12,0))</f>
        <v/>
      </c>
    </row>
    <row r="148" spans="1:16">
      <c r="A148" s="67"/>
      <c r="B148" s="55" t="s">
        <v>361</v>
      </c>
      <c r="C148" s="55">
        <v>150</v>
      </c>
      <c r="D148" s="56" t="str">
        <f>IF(K148="","",VLOOKUP(F148,Tabelle1!$A$2:$C$496,3,0))</f>
        <v/>
      </c>
      <c r="E148" s="57" t="str">
        <f>IF(K148="","",VLOOKUP(F148,Tabelle1!$A$2:$M$496,13,0))</f>
        <v/>
      </c>
      <c r="F148" s="56"/>
      <c r="G148" s="57"/>
      <c r="H148" s="57"/>
      <c r="I148" s="57"/>
      <c r="J148" s="57"/>
      <c r="K148" s="57"/>
      <c r="L148" s="57" t="str">
        <f>IF(K148="","",VLOOKUP(F148,Tabelle1!$A$2:$I$496,9,0))</f>
        <v/>
      </c>
      <c r="M148" s="57" t="str">
        <f>IF(K148="","",VLOOKUP(F148,Tabelle1!$A$2:$G$496,7,0))</f>
        <v/>
      </c>
      <c r="N148" s="66" t="str">
        <f t="shared" si="5"/>
        <v/>
      </c>
      <c r="O148" s="66" t="str">
        <f>IF(K148="","",((K148*VLOOKUP(F148,Tabelle1!$A$2:$I$496,8,0))/$W$4))</f>
        <v/>
      </c>
      <c r="P148" s="76" t="str">
        <f>IF(K148="","",VLOOKUP(F148,Tabelle1!$A$2:$L$496,12,0))</f>
        <v/>
      </c>
    </row>
    <row r="149" spans="1:16">
      <c r="A149" s="67"/>
      <c r="B149" s="55" t="s">
        <v>361</v>
      </c>
      <c r="C149" s="55">
        <v>151</v>
      </c>
      <c r="D149" s="56" t="str">
        <f>IF(K149="","",VLOOKUP(F149,Tabelle1!$A$2:$C$496,3,0))</f>
        <v/>
      </c>
      <c r="E149" s="57" t="str">
        <f>IF(K149="","",VLOOKUP(F149,Tabelle1!$A$2:$M$496,13,0))</f>
        <v/>
      </c>
      <c r="F149" s="56"/>
      <c r="G149" s="57"/>
      <c r="H149" s="57"/>
      <c r="I149" s="57"/>
      <c r="J149" s="57"/>
      <c r="K149" s="57"/>
      <c r="L149" s="57" t="str">
        <f>IF(K149="","",VLOOKUP(F149,Tabelle1!$A$2:$I$496,9,0))</f>
        <v/>
      </c>
      <c r="M149" s="57" t="str">
        <f>IF(K149="","",VLOOKUP(F149,Tabelle1!$A$2:$G$496,7,0))</f>
        <v/>
      </c>
      <c r="N149" s="66" t="str">
        <f t="shared" si="5"/>
        <v/>
      </c>
      <c r="O149" s="66" t="str">
        <f>IF(K149="","",((K149*VLOOKUP(F149,Tabelle1!$A$2:$I$496,8,0))/$W$4))</f>
        <v/>
      </c>
      <c r="P149" s="76" t="str">
        <f>IF(K149="","",VLOOKUP(F149,Tabelle1!$A$2:$L$496,12,0))</f>
        <v/>
      </c>
    </row>
    <row r="150" spans="1:16">
      <c r="A150" s="67"/>
      <c r="B150" s="55" t="s">
        <v>361</v>
      </c>
      <c r="C150" s="55">
        <v>152</v>
      </c>
      <c r="D150" s="56" t="str">
        <f>IF(K150="","",VLOOKUP(F150,Tabelle1!$A$2:$C$496,3,0))</f>
        <v/>
      </c>
      <c r="E150" s="57" t="str">
        <f>IF(K150="","",VLOOKUP(F150,Tabelle1!$A$2:$M$496,13,0))</f>
        <v/>
      </c>
      <c r="F150" s="56"/>
      <c r="G150" s="57"/>
      <c r="H150" s="57"/>
      <c r="I150" s="57"/>
      <c r="J150" s="57"/>
      <c r="K150" s="57"/>
      <c r="L150" s="57" t="str">
        <f>IF(K150="","",VLOOKUP(F150,Tabelle1!$A$2:$I$496,9,0))</f>
        <v/>
      </c>
      <c r="M150" s="57" t="str">
        <f>IF(K150="","",VLOOKUP(F150,Tabelle1!$A$2:$G$496,7,0))</f>
        <v/>
      </c>
      <c r="N150" s="66" t="str">
        <f t="shared" si="5"/>
        <v/>
      </c>
      <c r="O150" s="66" t="str">
        <f>IF(K150="","",((K150*VLOOKUP(F150,Tabelle1!$A$2:$I$496,8,0))/$W$4))</f>
        <v/>
      </c>
      <c r="P150" s="76" t="str">
        <f>IF(K150="","",VLOOKUP(F150,Tabelle1!$A$2:$L$496,12,0))</f>
        <v/>
      </c>
    </row>
    <row r="151" spans="1:16">
      <c r="A151" s="67"/>
      <c r="B151" s="55" t="s">
        <v>361</v>
      </c>
      <c r="C151" s="55">
        <v>153</v>
      </c>
      <c r="D151" s="56" t="str">
        <f>IF(K151="","",VLOOKUP(F151,Tabelle1!$A$2:$C$496,3,0))</f>
        <v/>
      </c>
      <c r="E151" s="57" t="str">
        <f>IF(K151="","",VLOOKUP(F151,Tabelle1!$A$2:$M$496,13,0))</f>
        <v/>
      </c>
      <c r="F151" s="56"/>
      <c r="G151" s="57"/>
      <c r="H151" s="57"/>
      <c r="I151" s="57"/>
      <c r="J151" s="57"/>
      <c r="K151" s="57"/>
      <c r="L151" s="57" t="str">
        <f>IF(K151="","",VLOOKUP(F151,Tabelle1!$A$2:$I$496,9,0))</f>
        <v/>
      </c>
      <c r="M151" s="57" t="str">
        <f>IF(K151="","",VLOOKUP(F151,Tabelle1!$A$2:$G$496,7,0))</f>
        <v/>
      </c>
      <c r="N151" s="66" t="str">
        <f t="shared" si="5"/>
        <v/>
      </c>
      <c r="O151" s="66" t="str">
        <f>IF(K151="","",((K151*VLOOKUP(F151,Tabelle1!$A$2:$I$496,8,0))/$W$4))</f>
        <v/>
      </c>
      <c r="P151" s="76" t="str">
        <f>IF(K151="","",VLOOKUP(F151,Tabelle1!$A$2:$L$496,12,0))</f>
        <v/>
      </c>
    </row>
    <row r="152" spans="1:16">
      <c r="A152" s="67"/>
      <c r="B152" s="55" t="s">
        <v>361</v>
      </c>
      <c r="C152" s="55">
        <v>154</v>
      </c>
      <c r="D152" s="56" t="str">
        <f>IF(K152="","",VLOOKUP(F152,Tabelle1!$A$2:$C$496,3,0))</f>
        <v/>
      </c>
      <c r="E152" s="57" t="str">
        <f>IF(K152="","",VLOOKUP(F152,Tabelle1!$A$2:$M$496,13,0))</f>
        <v/>
      </c>
      <c r="F152" s="56"/>
      <c r="G152" s="57"/>
      <c r="H152" s="57"/>
      <c r="I152" s="57"/>
      <c r="J152" s="57"/>
      <c r="K152" s="57"/>
      <c r="L152" s="57" t="str">
        <f>IF(K152="","",VLOOKUP(F152,Tabelle1!$A$2:$I$496,9,0))</f>
        <v/>
      </c>
      <c r="M152" s="57" t="str">
        <f>IF(K152="","",VLOOKUP(F152,Tabelle1!$A$2:$G$496,7,0))</f>
        <v/>
      </c>
      <c r="N152" s="66" t="str">
        <f t="shared" si="5"/>
        <v/>
      </c>
      <c r="O152" s="66" t="str">
        <f>IF(K152="","",((K152*VLOOKUP(F152,Tabelle1!$A$2:$I$496,8,0))/$W$4))</f>
        <v/>
      </c>
      <c r="P152" s="76" t="str">
        <f>IF(K152="","",VLOOKUP(F152,Tabelle1!$A$2:$L$496,12,0))</f>
        <v/>
      </c>
    </row>
    <row r="153" spans="1:16">
      <c r="A153" s="67"/>
      <c r="B153" s="55" t="s">
        <v>361</v>
      </c>
      <c r="C153" s="55">
        <v>155</v>
      </c>
      <c r="D153" s="56" t="str">
        <f>IF(K153="","",VLOOKUP(F153,Tabelle1!$A$2:$C$496,3,0))</f>
        <v/>
      </c>
      <c r="E153" s="57" t="str">
        <f>IF(K153="","",VLOOKUP(F153,Tabelle1!$A$2:$M$496,13,0))</f>
        <v/>
      </c>
      <c r="F153" s="56"/>
      <c r="G153" s="57"/>
      <c r="H153" s="57"/>
      <c r="I153" s="57"/>
      <c r="J153" s="57"/>
      <c r="K153" s="57"/>
      <c r="L153" s="57" t="str">
        <f>IF(K153="","",VLOOKUP(F153,Tabelle1!$A$2:$I$496,9,0))</f>
        <v/>
      </c>
      <c r="M153" s="57" t="str">
        <f>IF(K153="","",VLOOKUP(F153,Tabelle1!$A$2:$G$496,7,0))</f>
        <v/>
      </c>
      <c r="N153" s="66" t="str">
        <f t="shared" si="5"/>
        <v/>
      </c>
      <c r="O153" s="66" t="str">
        <f>IF(K153="","",((K153*VLOOKUP(F153,Tabelle1!$A$2:$I$496,8,0))/$W$4))</f>
        <v/>
      </c>
      <c r="P153" s="76" t="str">
        <f>IF(K153="","",VLOOKUP(F153,Tabelle1!$A$2:$L$496,12,0))</f>
        <v/>
      </c>
    </row>
    <row r="154" spans="1:16">
      <c r="A154" s="67"/>
      <c r="B154" s="55" t="s">
        <v>361</v>
      </c>
      <c r="C154" s="55">
        <v>156</v>
      </c>
      <c r="D154" s="56" t="str">
        <f>IF(K154="","",VLOOKUP(F154,Tabelle1!$A$2:$C$496,3,0))</f>
        <v/>
      </c>
      <c r="E154" s="57" t="str">
        <f>IF(K154="","",VLOOKUP(F154,Tabelle1!$A$2:$M$496,13,0))</f>
        <v/>
      </c>
      <c r="F154" s="56"/>
      <c r="G154" s="57"/>
      <c r="H154" s="57"/>
      <c r="I154" s="57"/>
      <c r="J154" s="57"/>
      <c r="K154" s="57"/>
      <c r="L154" s="57" t="str">
        <f>IF(K154="","",VLOOKUP(F154,Tabelle1!$A$2:$I$496,9,0))</f>
        <v/>
      </c>
      <c r="M154" s="57" t="str">
        <f>IF(K154="","",VLOOKUP(F154,Tabelle1!$A$2:$G$496,7,0))</f>
        <v/>
      </c>
      <c r="N154" s="66" t="str">
        <f t="shared" si="5"/>
        <v/>
      </c>
      <c r="O154" s="66" t="str">
        <f>IF(K154="","",((K154*VLOOKUP(F154,Tabelle1!$A$2:$I$496,8,0))/$W$4))</f>
        <v/>
      </c>
      <c r="P154" s="76" t="str">
        <f>IF(K154="","",VLOOKUP(F154,Tabelle1!$A$2:$L$496,12,0))</f>
        <v/>
      </c>
    </row>
    <row r="155" spans="1:16">
      <c r="A155" s="67"/>
      <c r="B155" s="55" t="s">
        <v>361</v>
      </c>
      <c r="C155" s="55">
        <v>157</v>
      </c>
      <c r="D155" s="56" t="str">
        <f>IF(K155="","",VLOOKUP(F155,Tabelle1!$A$2:$C$496,3,0))</f>
        <v/>
      </c>
      <c r="E155" s="57" t="str">
        <f>IF(K155="","",VLOOKUP(F155,Tabelle1!$A$2:$M$496,13,0))</f>
        <v/>
      </c>
      <c r="F155" s="56"/>
      <c r="G155" s="57"/>
      <c r="H155" s="57"/>
      <c r="I155" s="57"/>
      <c r="J155" s="57"/>
      <c r="K155" s="57"/>
      <c r="L155" s="57" t="str">
        <f>IF(K155="","",VLOOKUP(F155,Tabelle1!$A$2:$I$496,9,0))</f>
        <v/>
      </c>
      <c r="M155" s="57" t="str">
        <f>IF(K155="","",VLOOKUP(F155,Tabelle1!$A$2:$G$496,7,0))</f>
        <v/>
      </c>
      <c r="N155" s="66" t="str">
        <f t="shared" si="5"/>
        <v/>
      </c>
      <c r="O155" s="66" t="str">
        <f>IF(K155="","",((K155*VLOOKUP(F155,Tabelle1!$A$2:$I$496,8,0))/$W$4))</f>
        <v/>
      </c>
      <c r="P155" s="76" t="str">
        <f>IF(K155="","",VLOOKUP(F155,Tabelle1!$A$2:$L$496,12,0))</f>
        <v/>
      </c>
    </row>
    <row r="156" spans="1:16">
      <c r="A156" s="67"/>
      <c r="B156" s="55" t="s">
        <v>361</v>
      </c>
      <c r="C156" s="55">
        <v>158</v>
      </c>
      <c r="D156" s="56" t="str">
        <f>IF(K156="","",VLOOKUP(F156,Tabelle1!$A$2:$C$496,3,0))</f>
        <v/>
      </c>
      <c r="E156" s="57" t="str">
        <f>IF(K156="","",VLOOKUP(F156,Tabelle1!$A$2:$M$496,13,0))</f>
        <v/>
      </c>
      <c r="F156" s="56"/>
      <c r="G156" s="57"/>
      <c r="H156" s="57"/>
      <c r="I156" s="57"/>
      <c r="J156" s="57"/>
      <c r="K156" s="57"/>
      <c r="L156" s="57" t="str">
        <f>IF(K156="","",VLOOKUP(F156,Tabelle1!$A$2:$I$496,9,0))</f>
        <v/>
      </c>
      <c r="M156" s="57" t="str">
        <f>IF(K156="","",VLOOKUP(F156,Tabelle1!$A$2:$G$496,7,0))</f>
        <v/>
      </c>
      <c r="N156" s="66" t="str">
        <f t="shared" si="5"/>
        <v/>
      </c>
      <c r="O156" s="66" t="str">
        <f>IF(K156="","",((K156*VLOOKUP(F156,Tabelle1!$A$2:$I$496,8,0))/$W$4))</f>
        <v/>
      </c>
      <c r="P156" s="76" t="str">
        <f>IF(K156="","",VLOOKUP(F156,Tabelle1!$A$2:$L$496,12,0))</f>
        <v/>
      </c>
    </row>
    <row r="157" spans="1:16">
      <c r="A157" s="67"/>
      <c r="B157" s="55" t="s">
        <v>361</v>
      </c>
      <c r="C157" s="55">
        <v>159</v>
      </c>
      <c r="D157" s="56" t="str">
        <f>IF(K157="","",VLOOKUP(F157,Tabelle1!$A$2:$C$496,3,0))</f>
        <v/>
      </c>
      <c r="E157" s="57" t="str">
        <f>IF(K157="","",VLOOKUP(F157,Tabelle1!$A$2:$M$496,13,0))</f>
        <v/>
      </c>
      <c r="F157" s="56"/>
      <c r="G157" s="57"/>
      <c r="H157" s="57"/>
      <c r="I157" s="57"/>
      <c r="J157" s="57"/>
      <c r="K157" s="57"/>
      <c r="L157" s="57" t="str">
        <f>IF(K157="","",VLOOKUP(F157,Tabelle1!$A$2:$I$496,9,0))</f>
        <v/>
      </c>
      <c r="M157" s="57" t="str">
        <f>IF(K157="","",VLOOKUP(F157,Tabelle1!$A$2:$G$496,7,0))</f>
        <v/>
      </c>
      <c r="N157" s="66" t="str">
        <f t="shared" si="5"/>
        <v/>
      </c>
      <c r="O157" s="66" t="str">
        <f>IF(K157="","",((K157*VLOOKUP(F157,Tabelle1!$A$2:$I$496,8,0))/$W$4))</f>
        <v/>
      </c>
      <c r="P157" s="76" t="str">
        <f>IF(K157="","",VLOOKUP(F157,Tabelle1!$A$2:$L$496,12,0))</f>
        <v/>
      </c>
    </row>
    <row r="158" spans="1:16">
      <c r="A158" s="67"/>
      <c r="B158" s="55" t="s">
        <v>361</v>
      </c>
      <c r="C158" s="55">
        <v>160</v>
      </c>
      <c r="D158" s="56" t="str">
        <f>IF(K158="","",VLOOKUP(F158,Tabelle1!$A$2:$C$496,3,0))</f>
        <v/>
      </c>
      <c r="E158" s="57" t="str">
        <f>IF(K158="","",VLOOKUP(F158,Tabelle1!$A$2:$M$496,13,0))</f>
        <v/>
      </c>
      <c r="F158" s="56"/>
      <c r="G158" s="57"/>
      <c r="H158" s="57"/>
      <c r="I158" s="57"/>
      <c r="J158" s="57"/>
      <c r="K158" s="57"/>
      <c r="L158" s="57" t="str">
        <f>IF(K158="","",VLOOKUP(F158,Tabelle1!$A$2:$I$496,9,0))</f>
        <v/>
      </c>
      <c r="M158" s="57" t="str">
        <f>IF(K158="","",VLOOKUP(F158,Tabelle1!$A$2:$G$496,7,0))</f>
        <v/>
      </c>
      <c r="N158" s="66" t="str">
        <f t="shared" si="5"/>
        <v/>
      </c>
      <c r="O158" s="66" t="str">
        <f>IF(K158="","",((K158*VLOOKUP(F158,Tabelle1!$A$2:$I$496,8,0))/$W$4))</f>
        <v/>
      </c>
      <c r="P158" s="76" t="str">
        <f>IF(K158="","",VLOOKUP(F158,Tabelle1!$A$2:$L$496,12,0))</f>
        <v/>
      </c>
    </row>
    <row r="159" spans="1:16">
      <c r="A159" s="67"/>
      <c r="B159" s="55" t="s">
        <v>361</v>
      </c>
      <c r="C159" s="55">
        <v>161</v>
      </c>
      <c r="D159" s="56" t="str">
        <f>IF(K159="","",VLOOKUP(F159,Tabelle1!$A$2:$C$496,3,0))</f>
        <v/>
      </c>
      <c r="E159" s="57" t="str">
        <f>IF(K159="","",VLOOKUP(F159,Tabelle1!$A$2:$M$496,13,0))</f>
        <v/>
      </c>
      <c r="F159" s="56"/>
      <c r="G159" s="57"/>
      <c r="H159" s="57"/>
      <c r="I159" s="57"/>
      <c r="J159" s="57"/>
      <c r="K159" s="57"/>
      <c r="L159" s="57" t="str">
        <f>IF(K159="","",VLOOKUP(F159,Tabelle1!$A$2:$I$496,9,0))</f>
        <v/>
      </c>
      <c r="M159" s="57" t="str">
        <f>IF(K159="","",VLOOKUP(F159,Tabelle1!$A$2:$G$496,7,0))</f>
        <v/>
      </c>
      <c r="N159" s="66" t="str">
        <f t="shared" si="5"/>
        <v/>
      </c>
      <c r="O159" s="66" t="str">
        <f>IF(K159="","",((K159*VLOOKUP(F159,Tabelle1!$A$2:$I$496,8,0))/$W$4))</f>
        <v/>
      </c>
      <c r="P159" s="76" t="str">
        <f>IF(K159="","",VLOOKUP(F159,Tabelle1!$A$2:$L$496,12,0))</f>
        <v/>
      </c>
    </row>
    <row r="160" spans="1:16">
      <c r="A160" s="67"/>
      <c r="B160" s="55" t="s">
        <v>361</v>
      </c>
      <c r="C160" s="55">
        <v>162</v>
      </c>
      <c r="D160" s="56" t="str">
        <f>IF(K160="","",VLOOKUP(F160,Tabelle1!$A$2:$C$496,3,0))</f>
        <v/>
      </c>
      <c r="E160" s="57" t="str">
        <f>IF(K160="","",VLOOKUP(F160,Tabelle1!$A$2:$M$496,13,0))</f>
        <v/>
      </c>
      <c r="F160" s="56"/>
      <c r="G160" s="57"/>
      <c r="H160" s="57"/>
      <c r="I160" s="57"/>
      <c r="J160" s="57"/>
      <c r="K160" s="57"/>
      <c r="L160" s="57" t="str">
        <f>IF(K160="","",VLOOKUP(F160,Tabelle1!$A$2:$I$496,9,0))</f>
        <v/>
      </c>
      <c r="M160" s="57" t="str">
        <f>IF(K160="","",VLOOKUP(F160,Tabelle1!$A$2:$G$496,7,0))</f>
        <v/>
      </c>
      <c r="N160" s="66" t="str">
        <f t="shared" si="5"/>
        <v/>
      </c>
      <c r="O160" s="66" t="str">
        <f>IF(K160="","",((K160*VLOOKUP(F160,Tabelle1!$A$2:$I$496,8,0))/$W$4))</f>
        <v/>
      </c>
      <c r="P160" s="76" t="str">
        <f>IF(K160="","",VLOOKUP(F160,Tabelle1!$A$2:$L$496,12,0))</f>
        <v/>
      </c>
    </row>
    <row r="161" spans="1:16">
      <c r="A161" s="67"/>
      <c r="B161" s="55" t="s">
        <v>361</v>
      </c>
      <c r="C161" s="55">
        <v>163</v>
      </c>
      <c r="D161" s="56" t="str">
        <f>IF(K161="","",VLOOKUP(F161,Tabelle1!$A$2:$C$496,3,0))</f>
        <v/>
      </c>
      <c r="E161" s="57" t="str">
        <f>IF(K161="","",VLOOKUP(F161,Tabelle1!$A$2:$M$496,13,0))</f>
        <v/>
      </c>
      <c r="F161" s="56"/>
      <c r="G161" s="57"/>
      <c r="H161" s="57"/>
      <c r="I161" s="57"/>
      <c r="J161" s="57"/>
      <c r="K161" s="57"/>
      <c r="L161" s="57" t="str">
        <f>IF(K161="","",VLOOKUP(F161,Tabelle1!$A$2:$I$496,9,0))</f>
        <v/>
      </c>
      <c r="M161" s="57" t="str">
        <f>IF(K161="","",VLOOKUP(F161,Tabelle1!$A$2:$G$496,7,0))</f>
        <v/>
      </c>
      <c r="N161" s="66" t="str">
        <f t="shared" si="5"/>
        <v/>
      </c>
      <c r="O161" s="66" t="str">
        <f>IF(K161="","",((K161*VLOOKUP(F161,Tabelle1!$A$2:$I$496,8,0))/$W$4))</f>
        <v/>
      </c>
      <c r="P161" s="76" t="str">
        <f>IF(K161="","",VLOOKUP(F161,Tabelle1!$A$2:$L$496,12,0))</f>
        <v/>
      </c>
    </row>
    <row r="162" spans="1:16">
      <c r="A162" s="67"/>
      <c r="B162" s="55" t="s">
        <v>361</v>
      </c>
      <c r="C162" s="55">
        <v>164</v>
      </c>
      <c r="D162" s="56" t="str">
        <f>IF(K162="","",VLOOKUP(F162,Tabelle1!$A$2:$C$496,3,0))</f>
        <v/>
      </c>
      <c r="E162" s="57" t="str">
        <f>IF(K162="","",VLOOKUP(F162,Tabelle1!$A$2:$M$496,13,0))</f>
        <v/>
      </c>
      <c r="F162" s="56"/>
      <c r="G162" s="57"/>
      <c r="H162" s="57"/>
      <c r="I162" s="57"/>
      <c r="J162" s="57"/>
      <c r="K162" s="57"/>
      <c r="L162" s="57" t="str">
        <f>IF(K162="","",VLOOKUP(F162,Tabelle1!$A$2:$I$496,9,0))</f>
        <v/>
      </c>
      <c r="M162" s="57" t="str">
        <f>IF(K162="","",VLOOKUP(F162,Tabelle1!$A$2:$G$496,7,0))</f>
        <v/>
      </c>
      <c r="N162" s="66" t="str">
        <f t="shared" si="5"/>
        <v/>
      </c>
      <c r="O162" s="66" t="str">
        <f>IF(K162="","",((K162*VLOOKUP(F162,Tabelle1!$A$2:$I$496,8,0))/$W$4))</f>
        <v/>
      </c>
      <c r="P162" s="76" t="str">
        <f>IF(K162="","",VLOOKUP(F162,Tabelle1!$A$2:$L$496,12,0))</f>
        <v/>
      </c>
    </row>
    <row r="163" spans="1:16">
      <c r="A163" s="67"/>
      <c r="B163" s="55" t="s">
        <v>361</v>
      </c>
      <c r="C163" s="55">
        <v>165</v>
      </c>
      <c r="D163" s="56" t="str">
        <f>IF(K163="","",VLOOKUP(F163,Tabelle1!$A$2:$C$496,3,0))</f>
        <v/>
      </c>
      <c r="E163" s="57" t="str">
        <f>IF(K163="","",VLOOKUP(F163,Tabelle1!$A$2:$M$496,13,0))</f>
        <v/>
      </c>
      <c r="F163" s="56"/>
      <c r="G163" s="57"/>
      <c r="H163" s="57"/>
      <c r="I163" s="57"/>
      <c r="J163" s="57"/>
      <c r="K163" s="57"/>
      <c r="L163" s="57" t="str">
        <f>IF(K163="","",VLOOKUP(F163,Tabelle1!$A$2:$I$496,9,0))</f>
        <v/>
      </c>
      <c r="M163" s="57" t="str">
        <f>IF(K163="","",VLOOKUP(F163,Tabelle1!$A$2:$G$496,7,0))</f>
        <v/>
      </c>
      <c r="N163" s="66" t="str">
        <f t="shared" si="5"/>
        <v/>
      </c>
      <c r="O163" s="66" t="str">
        <f>IF(K163="","",((K163*VLOOKUP(F163,Tabelle1!$A$2:$I$496,8,0))/$W$4))</f>
        <v/>
      </c>
      <c r="P163" s="76" t="str">
        <f>IF(K163="","",VLOOKUP(F163,Tabelle1!$A$2:$L$496,12,0))</f>
        <v/>
      </c>
    </row>
    <row r="164" spans="1:16">
      <c r="A164" s="67"/>
      <c r="B164" s="55" t="s">
        <v>361</v>
      </c>
      <c r="C164" s="55">
        <v>166</v>
      </c>
      <c r="D164" s="56" t="str">
        <f>IF(K164="","",VLOOKUP(F164,Tabelle1!$A$2:$C$496,3,0))</f>
        <v/>
      </c>
      <c r="E164" s="57" t="str">
        <f>IF(K164="","",VLOOKUP(F164,Tabelle1!$A$2:$M$496,13,0))</f>
        <v/>
      </c>
      <c r="F164" s="56"/>
      <c r="G164" s="57"/>
      <c r="H164" s="57"/>
      <c r="I164" s="57"/>
      <c r="J164" s="57"/>
      <c r="K164" s="57"/>
      <c r="L164" s="57" t="str">
        <f>IF(K164="","",VLOOKUP(F164,Tabelle1!$A$2:$I$496,9,0))</f>
        <v/>
      </c>
      <c r="M164" s="57" t="str">
        <f>IF(K164="","",VLOOKUP(F164,Tabelle1!$A$2:$G$496,7,0))</f>
        <v/>
      </c>
      <c r="N164" s="66" t="str">
        <f t="shared" si="5"/>
        <v/>
      </c>
      <c r="O164" s="66" t="str">
        <f>IF(K164="","",((K164*VLOOKUP(F164,Tabelle1!$A$2:$I$496,8,0))/$W$4))</f>
        <v/>
      </c>
      <c r="P164" s="76" t="str">
        <f>IF(K164="","",VLOOKUP(F164,Tabelle1!$A$2:$L$496,12,0))</f>
        <v/>
      </c>
    </row>
    <row r="165" spans="1:16">
      <c r="A165" s="67"/>
      <c r="B165" s="55" t="s">
        <v>361</v>
      </c>
      <c r="C165" s="55">
        <v>167</v>
      </c>
      <c r="D165" s="56" t="str">
        <f>IF(K165="","",VLOOKUP(F165,Tabelle1!$A$2:$C$496,3,0))</f>
        <v/>
      </c>
      <c r="E165" s="57" t="str">
        <f>IF(K165="","",VLOOKUP(F165,Tabelle1!$A$2:$M$496,13,0))</f>
        <v/>
      </c>
      <c r="F165" s="56"/>
      <c r="G165" s="57"/>
      <c r="H165" s="57"/>
      <c r="I165" s="57"/>
      <c r="J165" s="57"/>
      <c r="K165" s="57"/>
      <c r="L165" s="57" t="str">
        <f>IF(K165="","",VLOOKUP(F165,Tabelle1!$A$2:$I$496,9,0))</f>
        <v/>
      </c>
      <c r="M165" s="57" t="str">
        <f>IF(K165="","",VLOOKUP(F165,Tabelle1!$A$2:$G$496,7,0))</f>
        <v/>
      </c>
      <c r="N165" s="66" t="str">
        <f t="shared" si="5"/>
        <v/>
      </c>
      <c r="O165" s="66" t="str">
        <f>IF(K165="","",((K165*VLOOKUP(F165,Tabelle1!$A$2:$I$496,8,0))/$W$4))</f>
        <v/>
      </c>
      <c r="P165" s="76" t="str">
        <f>IF(K165="","",VLOOKUP(F165,Tabelle1!$A$2:$L$496,12,0))</f>
        <v/>
      </c>
    </row>
    <row r="166" spans="1:16">
      <c r="A166" s="67"/>
      <c r="B166" s="55" t="s">
        <v>361</v>
      </c>
      <c r="C166" s="55">
        <v>168</v>
      </c>
      <c r="D166" s="56" t="str">
        <f>IF(K166="","",VLOOKUP(F166,Tabelle1!$A$2:$C$496,3,0))</f>
        <v/>
      </c>
      <c r="E166" s="57" t="str">
        <f>IF(K166="","",VLOOKUP(F166,Tabelle1!$A$2:$M$496,13,0))</f>
        <v/>
      </c>
      <c r="F166" s="56"/>
      <c r="G166" s="57"/>
      <c r="H166" s="57"/>
      <c r="I166" s="57"/>
      <c r="J166" s="57"/>
      <c r="K166" s="57"/>
      <c r="L166" s="57" t="str">
        <f>IF(K166="","",VLOOKUP(F166,Tabelle1!$A$2:$I$496,9,0))</f>
        <v/>
      </c>
      <c r="M166" s="57" t="str">
        <f>IF(K166="","",VLOOKUP(F166,Tabelle1!$A$2:$G$496,7,0))</f>
        <v/>
      </c>
      <c r="N166" s="66" t="str">
        <f t="shared" si="5"/>
        <v/>
      </c>
      <c r="O166" s="66" t="str">
        <f>IF(K166="","",((K166*VLOOKUP(F166,Tabelle1!$A$2:$I$496,8,0))/$W$4))</f>
        <v/>
      </c>
      <c r="P166" s="76" t="str">
        <f>IF(K166="","",VLOOKUP(F166,Tabelle1!$A$2:$L$496,12,0))</f>
        <v/>
      </c>
    </row>
    <row r="167" spans="1:16">
      <c r="A167" s="67"/>
      <c r="B167" s="55" t="s">
        <v>361</v>
      </c>
      <c r="C167" s="55">
        <v>169</v>
      </c>
      <c r="D167" s="56" t="str">
        <f>IF(K167="","",VLOOKUP(F167,Tabelle1!$A$2:$C$496,3,0))</f>
        <v/>
      </c>
      <c r="E167" s="57" t="str">
        <f>IF(K167="","",VLOOKUP(F167,Tabelle1!$A$2:$M$496,13,0))</f>
        <v/>
      </c>
      <c r="F167" s="56"/>
      <c r="G167" s="57"/>
      <c r="H167" s="57"/>
      <c r="I167" s="57"/>
      <c r="J167" s="57"/>
      <c r="K167" s="57"/>
      <c r="L167" s="57" t="str">
        <f>IF(K167="","",VLOOKUP(F167,Tabelle1!$A$2:$I$496,9,0))</f>
        <v/>
      </c>
      <c r="M167" s="57" t="str">
        <f>IF(K167="","",VLOOKUP(F167,Tabelle1!$A$2:$G$496,7,0))</f>
        <v/>
      </c>
      <c r="N167" s="66" t="str">
        <f t="shared" si="5"/>
        <v/>
      </c>
      <c r="O167" s="66" t="str">
        <f>IF(K167="","",((K167*VLOOKUP(F167,Tabelle1!$A$2:$I$496,8,0))/$W$4))</f>
        <v/>
      </c>
      <c r="P167" s="76" t="str">
        <f>IF(K167="","",VLOOKUP(F167,Tabelle1!$A$2:$L$496,12,0))</f>
        <v/>
      </c>
    </row>
    <row r="168" spans="1:16">
      <c r="A168" s="67"/>
      <c r="B168" s="55" t="s">
        <v>361</v>
      </c>
      <c r="C168" s="55">
        <v>170</v>
      </c>
      <c r="D168" s="56" t="str">
        <f>IF(K168="","",VLOOKUP(F168,Tabelle1!$A$2:$C$496,3,0))</f>
        <v/>
      </c>
      <c r="E168" s="57" t="str">
        <f>IF(K168="","",VLOOKUP(F168,Tabelle1!$A$2:$M$496,13,0))</f>
        <v/>
      </c>
      <c r="F168" s="56"/>
      <c r="G168" s="57"/>
      <c r="H168" s="57"/>
      <c r="I168" s="57"/>
      <c r="J168" s="57"/>
      <c r="K168" s="57"/>
      <c r="L168" s="57" t="str">
        <f>IF(K168="","",VLOOKUP(F168,Tabelle1!$A$2:$I$496,9,0))</f>
        <v/>
      </c>
      <c r="M168" s="57" t="str">
        <f>IF(K168="","",VLOOKUP(F168,Tabelle1!$A$2:$G$496,7,0))</f>
        <v/>
      </c>
      <c r="N168" s="66" t="str">
        <f t="shared" si="5"/>
        <v/>
      </c>
      <c r="O168" s="66" t="str">
        <f>IF(K168="","",((K168*VLOOKUP(F168,Tabelle1!$A$2:$I$496,8,0))/$W$4))</f>
        <v/>
      </c>
      <c r="P168" s="76" t="str">
        <f>IF(K168="","",VLOOKUP(F168,Tabelle1!$A$2:$L$496,12,0))</f>
        <v/>
      </c>
    </row>
    <row r="169" spans="1:16">
      <c r="A169" s="67"/>
      <c r="B169" s="55" t="s">
        <v>361</v>
      </c>
      <c r="C169" s="55">
        <v>171</v>
      </c>
      <c r="D169" s="56" t="str">
        <f>IF(K169="","",VLOOKUP(F169,Tabelle1!$A$2:$C$496,3,0))</f>
        <v/>
      </c>
      <c r="E169" s="57" t="str">
        <f>IF(K169="","",VLOOKUP(F169,Tabelle1!$A$2:$M$496,13,0))</f>
        <v/>
      </c>
      <c r="F169" s="56"/>
      <c r="G169" s="57"/>
      <c r="H169" s="57"/>
      <c r="I169" s="57"/>
      <c r="J169" s="57"/>
      <c r="K169" s="57"/>
      <c r="L169" s="57" t="str">
        <f>IF(K169="","",VLOOKUP(F169,Tabelle1!$A$2:$I$496,9,0))</f>
        <v/>
      </c>
      <c r="M169" s="57" t="str">
        <f>IF(K169="","",VLOOKUP(F169,Tabelle1!$A$2:$G$496,7,0))</f>
        <v/>
      </c>
      <c r="N169" s="66" t="str">
        <f t="shared" si="5"/>
        <v/>
      </c>
      <c r="O169" s="66" t="str">
        <f>IF(K169="","",((K169*VLOOKUP(F169,Tabelle1!$A$2:$I$496,8,0))/$W$4))</f>
        <v/>
      </c>
      <c r="P169" s="76" t="str">
        <f>IF(K169="","",VLOOKUP(F169,Tabelle1!$A$2:$L$496,12,0))</f>
        <v/>
      </c>
    </row>
    <row r="170" spans="1:16">
      <c r="A170" s="67"/>
      <c r="B170" s="55" t="s">
        <v>361</v>
      </c>
      <c r="C170" s="55">
        <v>172</v>
      </c>
      <c r="D170" s="56" t="str">
        <f>IF(K170="","",VLOOKUP(F170,Tabelle1!$A$2:$C$496,3,0))</f>
        <v/>
      </c>
      <c r="E170" s="57" t="str">
        <f>IF(K170="","",VLOOKUP(F170,Tabelle1!$A$2:$M$496,13,0))</f>
        <v/>
      </c>
      <c r="F170" s="56"/>
      <c r="G170" s="57"/>
      <c r="H170" s="57"/>
      <c r="I170" s="57"/>
      <c r="J170" s="57"/>
      <c r="K170" s="57"/>
      <c r="L170" s="57" t="str">
        <f>IF(K170="","",VLOOKUP(F170,Tabelle1!$A$2:$I$496,9,0))</f>
        <v/>
      </c>
      <c r="M170" s="57" t="str">
        <f>IF(K170="","",VLOOKUP(F170,Tabelle1!$A$2:$G$496,7,0))</f>
        <v/>
      </c>
      <c r="N170" s="66" t="str">
        <f t="shared" si="5"/>
        <v/>
      </c>
      <c r="O170" s="66" t="str">
        <f>IF(K170="","",((K170*VLOOKUP(F170,Tabelle1!$A$2:$I$496,8,0))/$W$4))</f>
        <v/>
      </c>
      <c r="P170" s="76" t="str">
        <f>IF(K170="","",VLOOKUP(F170,Tabelle1!$A$2:$L$496,12,0))</f>
        <v/>
      </c>
    </row>
    <row r="171" spans="1:16">
      <c r="A171" s="67"/>
      <c r="B171" s="55" t="s">
        <v>361</v>
      </c>
      <c r="C171" s="55">
        <v>173</v>
      </c>
      <c r="D171" s="56" t="str">
        <f>IF(K171="","",VLOOKUP(F171,Tabelle1!$A$2:$C$496,3,0))</f>
        <v/>
      </c>
      <c r="E171" s="57" t="str">
        <f>IF(K171="","",VLOOKUP(F171,Tabelle1!$A$2:$M$496,13,0))</f>
        <v/>
      </c>
      <c r="F171" s="56"/>
      <c r="G171" s="57"/>
      <c r="H171" s="57"/>
      <c r="I171" s="57"/>
      <c r="J171" s="57"/>
      <c r="K171" s="57"/>
      <c r="L171" s="57" t="str">
        <f>IF(K171="","",VLOOKUP(F171,Tabelle1!$A$2:$I$496,9,0))</f>
        <v/>
      </c>
      <c r="M171" s="57" t="str">
        <f>IF(K171="","",VLOOKUP(F171,Tabelle1!$A$2:$G$496,7,0))</f>
        <v/>
      </c>
      <c r="N171" s="66" t="str">
        <f t="shared" si="5"/>
        <v/>
      </c>
      <c r="O171" s="66" t="str">
        <f>IF(K171="","",((K171*VLOOKUP(F171,Tabelle1!$A$2:$I$496,8,0))/$W$4))</f>
        <v/>
      </c>
      <c r="P171" s="76" t="str">
        <f>IF(K171="","",VLOOKUP(F171,Tabelle1!$A$2:$L$496,12,0))</f>
        <v/>
      </c>
    </row>
    <row r="172" spans="1:16">
      <c r="A172" s="67"/>
      <c r="B172" s="55" t="s">
        <v>361</v>
      </c>
      <c r="C172" s="55">
        <v>174</v>
      </c>
      <c r="D172" s="56" t="str">
        <f>IF(K172="","",VLOOKUP(F172,Tabelle1!$A$2:$C$496,3,0))</f>
        <v/>
      </c>
      <c r="E172" s="57" t="str">
        <f>IF(K172="","",VLOOKUP(F172,Tabelle1!$A$2:$M$496,13,0))</f>
        <v/>
      </c>
      <c r="F172" s="56"/>
      <c r="G172" s="57"/>
      <c r="H172" s="57"/>
      <c r="I172" s="57"/>
      <c r="J172" s="57"/>
      <c r="K172" s="57"/>
      <c r="L172" s="57" t="str">
        <f>IF(K172="","",VLOOKUP(F172,Tabelle1!$A$2:$I$496,9,0))</f>
        <v/>
      </c>
      <c r="M172" s="57" t="str">
        <f>IF(K172="","",VLOOKUP(F172,Tabelle1!$A$2:$G$496,7,0))</f>
        <v/>
      </c>
      <c r="N172" s="66" t="str">
        <f t="shared" si="5"/>
        <v/>
      </c>
      <c r="O172" s="66" t="str">
        <f>IF(K172="","",((K172*VLOOKUP(F172,Tabelle1!$A$2:$I$496,8,0))/$W$4))</f>
        <v/>
      </c>
      <c r="P172" s="76" t="str">
        <f>IF(K172="","",VLOOKUP(F172,Tabelle1!$A$2:$L$496,12,0))</f>
        <v/>
      </c>
    </row>
    <row r="173" spans="1:16">
      <c r="A173" s="67"/>
      <c r="B173" s="55" t="s">
        <v>361</v>
      </c>
      <c r="C173" s="55">
        <v>175</v>
      </c>
      <c r="D173" s="56" t="str">
        <f>IF(K173="","",VLOOKUP(F173,Tabelle1!$A$2:$C$496,3,0))</f>
        <v/>
      </c>
      <c r="E173" s="57" t="str">
        <f>IF(K173="","",VLOOKUP(F173,Tabelle1!$A$2:$M$496,13,0))</f>
        <v/>
      </c>
      <c r="F173" s="56"/>
      <c r="G173" s="57"/>
      <c r="H173" s="57"/>
      <c r="I173" s="57"/>
      <c r="J173" s="57"/>
      <c r="K173" s="57"/>
      <c r="L173" s="57" t="str">
        <f>IF(K173="","",VLOOKUP(F173,Tabelle1!$A$2:$I$496,9,0))</f>
        <v/>
      </c>
      <c r="M173" s="57" t="str">
        <f>IF(K173="","",VLOOKUP(F173,Tabelle1!$A$2:$G$496,7,0))</f>
        <v/>
      </c>
      <c r="N173" s="66" t="str">
        <f t="shared" si="5"/>
        <v/>
      </c>
      <c r="O173" s="66" t="str">
        <f>IF(K173="","",((K173*VLOOKUP(F173,Tabelle1!$A$2:$I$496,8,0))/$W$4))</f>
        <v/>
      </c>
      <c r="P173" s="76" t="str">
        <f>IF(K173="","",VLOOKUP(F173,Tabelle1!$A$2:$L$496,12,0))</f>
        <v/>
      </c>
    </row>
    <row r="174" spans="1:16">
      <c r="A174" s="67"/>
      <c r="B174" s="55" t="s">
        <v>361</v>
      </c>
      <c r="C174" s="55">
        <v>176</v>
      </c>
      <c r="D174" s="56" t="str">
        <f>IF(K174="","",VLOOKUP(F174,Tabelle1!$A$2:$C$496,3,0))</f>
        <v/>
      </c>
      <c r="E174" s="57" t="str">
        <f>IF(K174="","",VLOOKUP(F174,Tabelle1!$A$2:$M$496,13,0))</f>
        <v/>
      </c>
      <c r="F174" s="56"/>
      <c r="G174" s="57"/>
      <c r="H174" s="57"/>
      <c r="I174" s="57"/>
      <c r="J174" s="57"/>
      <c r="K174" s="57"/>
      <c r="L174" s="57" t="str">
        <f>IF(K174="","",VLOOKUP(F174,Tabelle1!$A$2:$I$496,9,0))</f>
        <v/>
      </c>
      <c r="M174" s="57" t="str">
        <f>IF(K174="","",VLOOKUP(F174,Tabelle1!$A$2:$G$496,7,0))</f>
        <v/>
      </c>
      <c r="N174" s="66" t="str">
        <f t="shared" si="5"/>
        <v/>
      </c>
      <c r="O174" s="66" t="str">
        <f>IF(K174="","",((K174*VLOOKUP(F174,Tabelle1!$A$2:$I$496,8,0))/$W$4))</f>
        <v/>
      </c>
      <c r="P174" s="76" t="str">
        <f>IF(K174="","",VLOOKUP(F174,Tabelle1!$A$2:$L$496,12,0))</f>
        <v/>
      </c>
    </row>
    <row r="175" spans="1:16">
      <c r="A175" s="67"/>
      <c r="B175" s="55" t="s">
        <v>361</v>
      </c>
      <c r="C175" s="55">
        <v>177</v>
      </c>
      <c r="D175" s="56" t="str">
        <f>IF(K175="","",VLOOKUP(F175,Tabelle1!$A$2:$C$496,3,0))</f>
        <v/>
      </c>
      <c r="E175" s="57" t="str">
        <f>IF(K175="","",VLOOKUP(F175,Tabelle1!$A$2:$M$496,13,0))</f>
        <v/>
      </c>
      <c r="F175" s="56"/>
      <c r="G175" s="57"/>
      <c r="H175" s="57"/>
      <c r="I175" s="57"/>
      <c r="J175" s="57"/>
      <c r="K175" s="57"/>
      <c r="L175" s="57" t="str">
        <f>IF(K175="","",VLOOKUP(F175,Tabelle1!$A$2:$I$496,9,0))</f>
        <v/>
      </c>
      <c r="M175" s="57" t="str">
        <f>IF(K175="","",VLOOKUP(F175,Tabelle1!$A$2:$G$496,7,0))</f>
        <v/>
      </c>
      <c r="N175" s="66" t="str">
        <f t="shared" si="5"/>
        <v/>
      </c>
      <c r="O175" s="66" t="str">
        <f>IF(K175="","",((K175*VLOOKUP(F175,Tabelle1!$A$2:$I$496,8,0))/$W$4))</f>
        <v/>
      </c>
      <c r="P175" s="76" t="str">
        <f>IF(K175="","",VLOOKUP(F175,Tabelle1!$A$2:$L$496,12,0))</f>
        <v/>
      </c>
    </row>
    <row r="176" spans="1:16">
      <c r="A176" s="67"/>
      <c r="B176" s="55" t="s">
        <v>361</v>
      </c>
      <c r="C176" s="55">
        <v>178</v>
      </c>
      <c r="D176" s="56" t="str">
        <f>IF(K176="","",VLOOKUP(F176,Tabelle1!$A$2:$C$496,3,0))</f>
        <v/>
      </c>
      <c r="E176" s="57" t="str">
        <f>IF(K176="","",VLOOKUP(F176,Tabelle1!$A$2:$M$496,13,0))</f>
        <v/>
      </c>
      <c r="F176" s="56"/>
      <c r="G176" s="57"/>
      <c r="H176" s="57"/>
      <c r="I176" s="57"/>
      <c r="J176" s="57"/>
      <c r="K176" s="57"/>
      <c r="L176" s="57" t="str">
        <f>IF(K176="","",VLOOKUP(F176,Tabelle1!$A$2:$I$496,9,0))</f>
        <v/>
      </c>
      <c r="M176" s="57" t="str">
        <f>IF(K176="","",VLOOKUP(F176,Tabelle1!$A$2:$G$496,7,0))</f>
        <v/>
      </c>
      <c r="N176" s="66" t="str">
        <f t="shared" si="5"/>
        <v/>
      </c>
      <c r="O176" s="66" t="str">
        <f>IF(K176="","",((K176*VLOOKUP(F176,Tabelle1!$A$2:$I$496,8,0))/$W$4))</f>
        <v/>
      </c>
      <c r="P176" s="76" t="str">
        <f>IF(K176="","",VLOOKUP(F176,Tabelle1!$A$2:$L$496,12,0))</f>
        <v/>
      </c>
    </row>
    <row r="177" spans="1:16">
      <c r="A177" s="67"/>
      <c r="B177" s="55" t="s">
        <v>361</v>
      </c>
      <c r="C177" s="55">
        <v>179</v>
      </c>
      <c r="D177" s="56" t="str">
        <f>IF(K177="","",VLOOKUP(F177,Tabelle1!$A$2:$C$496,3,0))</f>
        <v/>
      </c>
      <c r="E177" s="57" t="str">
        <f>IF(K177="","",VLOOKUP(F177,Tabelle1!$A$2:$M$496,13,0))</f>
        <v/>
      </c>
      <c r="F177" s="56"/>
      <c r="G177" s="57"/>
      <c r="H177" s="57"/>
      <c r="I177" s="57"/>
      <c r="J177" s="57"/>
      <c r="K177" s="57"/>
      <c r="L177" s="57" t="str">
        <f>IF(K177="","",VLOOKUP(F177,Tabelle1!$A$2:$I$496,9,0))</f>
        <v/>
      </c>
      <c r="M177" s="57" t="str">
        <f>IF(K177="","",VLOOKUP(F177,Tabelle1!$A$2:$G$496,7,0))</f>
        <v/>
      </c>
      <c r="N177" s="66" t="str">
        <f t="shared" si="5"/>
        <v/>
      </c>
      <c r="O177" s="66" t="str">
        <f>IF(K177="","",((K177*VLOOKUP(F177,Tabelle1!$A$2:$I$496,8,0))/$W$4))</f>
        <v/>
      </c>
      <c r="P177" s="76" t="str">
        <f>IF(K177="","",VLOOKUP(F177,Tabelle1!$A$2:$L$496,12,0))</f>
        <v/>
      </c>
    </row>
    <row r="178" spans="1:16">
      <c r="A178" s="67"/>
      <c r="B178" s="55" t="s">
        <v>361</v>
      </c>
      <c r="C178" s="55">
        <v>180</v>
      </c>
      <c r="D178" s="56" t="str">
        <f>IF(K178="","",VLOOKUP(F178,Tabelle1!$A$2:$C$496,3,0))</f>
        <v/>
      </c>
      <c r="E178" s="57" t="str">
        <f>IF(K178="","",VLOOKUP(F178,Tabelle1!$A$2:$M$496,13,0))</f>
        <v/>
      </c>
      <c r="F178" s="56"/>
      <c r="G178" s="57"/>
      <c r="H178" s="57"/>
      <c r="I178" s="57"/>
      <c r="J178" s="57"/>
      <c r="K178" s="57"/>
      <c r="L178" s="57" t="str">
        <f>IF(K178="","",VLOOKUP(F178,Tabelle1!$A$2:$I$496,9,0))</f>
        <v/>
      </c>
      <c r="M178" s="57" t="str">
        <f>IF(K178="","",VLOOKUP(F178,Tabelle1!$A$2:$G$496,7,0))</f>
        <v/>
      </c>
      <c r="N178" s="66" t="str">
        <f t="shared" si="5"/>
        <v/>
      </c>
      <c r="O178" s="66" t="str">
        <f>IF(K178="","",((K178*VLOOKUP(F178,Tabelle1!$A$2:$I$496,8,0))/$W$4))</f>
        <v/>
      </c>
      <c r="P178" s="76" t="str">
        <f>IF(K178="","",VLOOKUP(F178,Tabelle1!$A$2:$L$496,12,0))</f>
        <v/>
      </c>
    </row>
    <row r="179" spans="1:16">
      <c r="A179" s="67"/>
      <c r="B179" s="55" t="s">
        <v>361</v>
      </c>
      <c r="C179" s="55">
        <v>181</v>
      </c>
      <c r="D179" s="56" t="str">
        <f>IF(K179="","",VLOOKUP(F179,Tabelle1!$A$2:$C$496,3,0))</f>
        <v/>
      </c>
      <c r="E179" s="57" t="str">
        <f>IF(K179="","",VLOOKUP(F179,Tabelle1!$A$2:$M$496,13,0))</f>
        <v/>
      </c>
      <c r="F179" s="56"/>
      <c r="G179" s="57"/>
      <c r="H179" s="57"/>
      <c r="I179" s="57"/>
      <c r="J179" s="57"/>
      <c r="K179" s="57"/>
      <c r="L179" s="57" t="str">
        <f>IF(K179="","",VLOOKUP(F179,Tabelle1!$A$2:$I$496,9,0))</f>
        <v/>
      </c>
      <c r="M179" s="57" t="str">
        <f>IF(K179="","",VLOOKUP(F179,Tabelle1!$A$2:$G$496,7,0))</f>
        <v/>
      </c>
      <c r="N179" s="66" t="str">
        <f t="shared" si="5"/>
        <v/>
      </c>
      <c r="O179" s="66" t="str">
        <f>IF(K179="","",((K179*VLOOKUP(F179,Tabelle1!$A$2:$I$496,8,0))/$W$4))</f>
        <v/>
      </c>
      <c r="P179" s="76" t="str">
        <f>IF(K179="","",VLOOKUP(F179,Tabelle1!$A$2:$L$496,12,0))</f>
        <v/>
      </c>
    </row>
    <row r="180" spans="1:16">
      <c r="A180" s="67"/>
      <c r="B180" s="55" t="s">
        <v>361</v>
      </c>
      <c r="C180" s="55">
        <v>182</v>
      </c>
      <c r="D180" s="56" t="str">
        <f>IF(K180="","",VLOOKUP(F180,Tabelle1!$A$2:$C$496,3,0))</f>
        <v/>
      </c>
      <c r="E180" s="57" t="str">
        <f>IF(K180="","",VLOOKUP(F180,Tabelle1!$A$2:$M$496,13,0))</f>
        <v/>
      </c>
      <c r="F180" s="56"/>
      <c r="G180" s="57"/>
      <c r="H180" s="57"/>
      <c r="I180" s="57"/>
      <c r="J180" s="57"/>
      <c r="K180" s="57"/>
      <c r="L180" s="57" t="str">
        <f>IF(K180="","",VLOOKUP(F180,Tabelle1!$A$2:$I$496,9,0))</f>
        <v/>
      </c>
      <c r="M180" s="57" t="str">
        <f>IF(K180="","",VLOOKUP(F180,Tabelle1!$A$2:$G$496,7,0))</f>
        <v/>
      </c>
      <c r="N180" s="66" t="str">
        <f t="shared" si="5"/>
        <v/>
      </c>
      <c r="O180" s="66" t="str">
        <f>IF(K180="","",((K180*VLOOKUP(F180,Tabelle1!$A$2:$I$496,8,0))/$W$4))</f>
        <v/>
      </c>
      <c r="P180" s="76" t="str">
        <f>IF(K180="","",VLOOKUP(F180,Tabelle1!$A$2:$L$496,12,0))</f>
        <v/>
      </c>
    </row>
    <row r="181" spans="1:16">
      <c r="A181" s="67"/>
      <c r="B181" s="55" t="s">
        <v>361</v>
      </c>
      <c r="C181" s="55">
        <v>183</v>
      </c>
      <c r="D181" s="56" t="str">
        <f>IF(K181="","",VLOOKUP(F181,Tabelle1!$A$2:$C$496,3,0))</f>
        <v/>
      </c>
      <c r="E181" s="57" t="str">
        <f>IF(K181="","",VLOOKUP(F181,Tabelle1!$A$2:$M$496,13,0))</f>
        <v/>
      </c>
      <c r="F181" s="56"/>
      <c r="G181" s="57"/>
      <c r="H181" s="57"/>
      <c r="I181" s="57"/>
      <c r="J181" s="57"/>
      <c r="K181" s="57"/>
      <c r="L181" s="57" t="str">
        <f>IF(K181="","",VLOOKUP(F181,Tabelle1!$A$2:$I$496,9,0))</f>
        <v/>
      </c>
      <c r="M181" s="57" t="str">
        <f>IF(K181="","",VLOOKUP(F181,Tabelle1!$A$2:$G$496,7,0))</f>
        <v/>
      </c>
      <c r="N181" s="66" t="str">
        <f t="shared" si="5"/>
        <v/>
      </c>
      <c r="O181" s="66" t="str">
        <f>IF(K181="","",((K181*VLOOKUP(F181,Tabelle1!$A$2:$I$496,8,0))/$W$4))</f>
        <v/>
      </c>
      <c r="P181" s="76" t="str">
        <f>IF(K181="","",VLOOKUP(F181,Tabelle1!$A$2:$L$496,12,0))</f>
        <v/>
      </c>
    </row>
    <row r="182" spans="1:16">
      <c r="A182" s="67"/>
      <c r="B182" s="55" t="s">
        <v>361</v>
      </c>
      <c r="C182" s="55">
        <v>184</v>
      </c>
      <c r="D182" s="56" t="str">
        <f>IF(K182="","",VLOOKUP(F182,Tabelle1!$A$2:$C$496,3,0))</f>
        <v/>
      </c>
      <c r="E182" s="57" t="str">
        <f>IF(K182="","",VLOOKUP(F182,Tabelle1!$A$2:$M$496,13,0))</f>
        <v/>
      </c>
      <c r="F182" s="56"/>
      <c r="G182" s="57"/>
      <c r="H182" s="57"/>
      <c r="I182" s="57"/>
      <c r="J182" s="57"/>
      <c r="K182" s="57"/>
      <c r="L182" s="57" t="str">
        <f>IF(K182="","",VLOOKUP(F182,Tabelle1!$A$2:$I$496,9,0))</f>
        <v/>
      </c>
      <c r="M182" s="57" t="str">
        <f>IF(K182="","",VLOOKUP(F182,Tabelle1!$A$2:$G$496,7,0))</f>
        <v/>
      </c>
      <c r="N182" s="66" t="str">
        <f t="shared" si="5"/>
        <v/>
      </c>
      <c r="O182" s="66" t="str">
        <f>IF(K182="","",((K182*VLOOKUP(F182,Tabelle1!$A$2:$I$496,8,0))/$W$4))</f>
        <v/>
      </c>
      <c r="P182" s="76" t="str">
        <f>IF(K182="","",VLOOKUP(F182,Tabelle1!$A$2:$L$496,12,0))</f>
        <v/>
      </c>
    </row>
    <row r="183" spans="1:16">
      <c r="A183" s="67"/>
      <c r="B183" s="55" t="s">
        <v>361</v>
      </c>
      <c r="C183" s="55">
        <v>185</v>
      </c>
      <c r="D183" s="56" t="str">
        <f>IF(K183="","",VLOOKUP(F183,Tabelle1!$A$2:$C$496,3,0))</f>
        <v/>
      </c>
      <c r="E183" s="57" t="str">
        <f>IF(K183="","",VLOOKUP(F183,Tabelle1!$A$2:$M$496,13,0))</f>
        <v/>
      </c>
      <c r="F183" s="56"/>
      <c r="G183" s="57"/>
      <c r="H183" s="57"/>
      <c r="I183" s="57"/>
      <c r="J183" s="57"/>
      <c r="K183" s="57"/>
      <c r="L183" s="57" t="str">
        <f>IF(K183="","",VLOOKUP(F183,Tabelle1!$A$2:$I$496,9,0))</f>
        <v/>
      </c>
      <c r="M183" s="57" t="str">
        <f>IF(K183="","",VLOOKUP(F183,Tabelle1!$A$2:$G$496,7,0))</f>
        <v/>
      </c>
      <c r="N183" s="66" t="str">
        <f t="shared" si="5"/>
        <v/>
      </c>
      <c r="O183" s="66" t="str">
        <f>IF(K183="","",((K183*VLOOKUP(F183,Tabelle1!$A$2:$I$496,8,0))/$W$4))</f>
        <v/>
      </c>
      <c r="P183" s="76" t="str">
        <f>IF(K183="","",VLOOKUP(F183,Tabelle1!$A$2:$L$496,12,0))</f>
        <v/>
      </c>
    </row>
    <row r="184" spans="1:16">
      <c r="A184" s="67"/>
      <c r="B184" s="55" t="s">
        <v>361</v>
      </c>
      <c r="C184" s="55">
        <v>186</v>
      </c>
      <c r="D184" s="56" t="str">
        <f>IF(K184="","",VLOOKUP(F184,Tabelle1!$A$2:$C$496,3,0))</f>
        <v/>
      </c>
      <c r="E184" s="57" t="str">
        <f>IF(K184="","",VLOOKUP(F184,Tabelle1!$A$2:$M$496,13,0))</f>
        <v/>
      </c>
      <c r="F184" s="56"/>
      <c r="G184" s="57"/>
      <c r="H184" s="57"/>
      <c r="I184" s="57"/>
      <c r="J184" s="57"/>
      <c r="K184" s="57"/>
      <c r="L184" s="57" t="str">
        <f>IF(K184="","",VLOOKUP(F184,Tabelle1!$A$2:$I$496,9,0))</f>
        <v/>
      </c>
      <c r="M184" s="57" t="str">
        <f>IF(K184="","",VLOOKUP(F184,Tabelle1!$A$2:$G$496,7,0))</f>
        <v/>
      </c>
      <c r="N184" s="66" t="str">
        <f t="shared" si="5"/>
        <v/>
      </c>
      <c r="O184" s="66" t="str">
        <f>IF(K184="","",((K184*VLOOKUP(F184,Tabelle1!$A$2:$I$496,8,0))/$W$4))</f>
        <v/>
      </c>
      <c r="P184" s="76" t="str">
        <f>IF(K184="","",VLOOKUP(F184,Tabelle1!$A$2:$L$496,12,0))</f>
        <v/>
      </c>
    </row>
    <row r="185" spans="1:16">
      <c r="A185" s="67"/>
      <c r="B185" s="55" t="s">
        <v>361</v>
      </c>
      <c r="C185" s="55">
        <v>187</v>
      </c>
      <c r="D185" s="56" t="str">
        <f>IF(K185="","",VLOOKUP(F185,Tabelle1!$A$2:$C$496,3,0))</f>
        <v/>
      </c>
      <c r="E185" s="57" t="str">
        <f>IF(K185="","",VLOOKUP(F185,Tabelle1!$A$2:$M$496,13,0))</f>
        <v/>
      </c>
      <c r="F185" s="56"/>
      <c r="G185" s="57"/>
      <c r="H185" s="57"/>
      <c r="I185" s="57"/>
      <c r="J185" s="57"/>
      <c r="K185" s="57"/>
      <c r="L185" s="57" t="str">
        <f>IF(K185="","",VLOOKUP(F185,Tabelle1!$A$2:$I$496,9,0))</f>
        <v/>
      </c>
      <c r="M185" s="57" t="str">
        <f>IF(K185="","",VLOOKUP(F185,Tabelle1!$A$2:$G$496,7,0))</f>
        <v/>
      </c>
      <c r="N185" s="66" t="str">
        <f t="shared" si="5"/>
        <v/>
      </c>
      <c r="O185" s="66" t="str">
        <f>IF(K185="","",((K185*VLOOKUP(F185,Tabelle1!$A$2:$I$496,8,0))/$W$4))</f>
        <v/>
      </c>
      <c r="P185" s="76" t="str">
        <f>IF(K185="","",VLOOKUP(F185,Tabelle1!$A$2:$L$496,12,0))</f>
        <v/>
      </c>
    </row>
    <row r="186" spans="1:16">
      <c r="A186" s="67"/>
      <c r="B186" s="55" t="s">
        <v>361</v>
      </c>
      <c r="C186" s="55">
        <v>188</v>
      </c>
      <c r="D186" s="56" t="str">
        <f>IF(K186="","",VLOOKUP(F186,Tabelle1!$A$2:$C$496,3,0))</f>
        <v/>
      </c>
      <c r="E186" s="57" t="str">
        <f>IF(K186="","",VLOOKUP(F186,Tabelle1!$A$2:$M$496,13,0))</f>
        <v/>
      </c>
      <c r="F186" s="56"/>
      <c r="G186" s="57"/>
      <c r="H186" s="57"/>
      <c r="I186" s="57"/>
      <c r="J186" s="57"/>
      <c r="K186" s="57"/>
      <c r="L186" s="57" t="str">
        <f>IF(K186="","",VLOOKUP(F186,Tabelle1!$A$2:$I$496,9,0))</f>
        <v/>
      </c>
      <c r="M186" s="57" t="str">
        <f>IF(K186="","",VLOOKUP(F186,Tabelle1!$A$2:$G$496,7,0))</f>
        <v/>
      </c>
      <c r="N186" s="66" t="str">
        <f t="shared" si="5"/>
        <v/>
      </c>
      <c r="O186" s="66" t="str">
        <f>IF(K186="","",((K186*VLOOKUP(F186,Tabelle1!$A$2:$I$496,8,0))/$W$4))</f>
        <v/>
      </c>
      <c r="P186" s="76" t="str">
        <f>IF(K186="","",VLOOKUP(F186,Tabelle1!$A$2:$L$496,12,0))</f>
        <v/>
      </c>
    </row>
    <row r="187" spans="1:16">
      <c r="A187" s="67"/>
      <c r="B187" s="55" t="s">
        <v>361</v>
      </c>
      <c r="C187" s="55">
        <v>189</v>
      </c>
      <c r="D187" s="56" t="str">
        <f>IF(K187="","",VLOOKUP(F187,Tabelle1!$A$2:$C$496,3,0))</f>
        <v/>
      </c>
      <c r="E187" s="57" t="str">
        <f>IF(K187="","",VLOOKUP(F187,Tabelle1!$A$2:$M$496,13,0))</f>
        <v/>
      </c>
      <c r="F187" s="56"/>
      <c r="G187" s="57"/>
      <c r="H187" s="57"/>
      <c r="I187" s="57"/>
      <c r="J187" s="57"/>
      <c r="K187" s="57"/>
      <c r="L187" s="57" t="str">
        <f>IF(K187="","",VLOOKUP(F187,Tabelle1!$A$2:$I$496,9,0))</f>
        <v/>
      </c>
      <c r="M187" s="57" t="str">
        <f>IF(K187="","",VLOOKUP(F187,Tabelle1!$A$2:$G$496,7,0))</f>
        <v/>
      </c>
      <c r="N187" s="66" t="str">
        <f t="shared" si="5"/>
        <v/>
      </c>
      <c r="O187" s="66" t="str">
        <f>IF(K187="","",((K187*VLOOKUP(F187,Tabelle1!$A$2:$I$496,8,0))/$W$4))</f>
        <v/>
      </c>
      <c r="P187" s="76" t="str">
        <f>IF(K187="","",VLOOKUP(F187,Tabelle1!$A$2:$L$496,12,0))</f>
        <v/>
      </c>
    </row>
    <row r="188" spans="1:16">
      <c r="A188" s="67"/>
      <c r="B188" s="55" t="s">
        <v>361</v>
      </c>
      <c r="C188" s="55">
        <v>190</v>
      </c>
      <c r="D188" s="56" t="str">
        <f>IF(K188="","",VLOOKUP(F188,Tabelle1!$A$2:$C$496,3,0))</f>
        <v/>
      </c>
      <c r="E188" s="57" t="str">
        <f>IF(K188="","",VLOOKUP(F188,Tabelle1!$A$2:$M$496,13,0))</f>
        <v/>
      </c>
      <c r="F188" s="56"/>
      <c r="G188" s="57"/>
      <c r="H188" s="57"/>
      <c r="I188" s="57"/>
      <c r="J188" s="57"/>
      <c r="K188" s="57"/>
      <c r="L188" s="57" t="str">
        <f>IF(K188="","",VLOOKUP(F188,Tabelle1!$A$2:$I$496,9,0))</f>
        <v/>
      </c>
      <c r="M188" s="57" t="str">
        <f>IF(K188="","",VLOOKUP(F188,Tabelle1!$A$2:$G$496,7,0))</f>
        <v/>
      </c>
      <c r="N188" s="66" t="str">
        <f t="shared" si="5"/>
        <v/>
      </c>
      <c r="O188" s="66" t="str">
        <f>IF(K188="","",((K188*VLOOKUP(F188,Tabelle1!$A$2:$I$496,8,0))/$W$4))</f>
        <v/>
      </c>
      <c r="P188" s="76" t="str">
        <f>IF(K188="","",VLOOKUP(F188,Tabelle1!$A$2:$L$496,12,0))</f>
        <v/>
      </c>
    </row>
    <row r="189" spans="1:16">
      <c r="A189" s="67"/>
      <c r="B189" s="55" t="s">
        <v>361</v>
      </c>
      <c r="C189" s="55">
        <v>191</v>
      </c>
      <c r="D189" s="56" t="str">
        <f>IF(K189="","",VLOOKUP(F189,Tabelle1!$A$2:$C$496,3,0))</f>
        <v/>
      </c>
      <c r="E189" s="57" t="str">
        <f>IF(K189="","",VLOOKUP(F189,Tabelle1!$A$2:$M$496,13,0))</f>
        <v/>
      </c>
      <c r="F189" s="56"/>
      <c r="G189" s="57"/>
      <c r="H189" s="57"/>
      <c r="I189" s="57"/>
      <c r="J189" s="57"/>
      <c r="K189" s="57"/>
      <c r="L189" s="57" t="str">
        <f>IF(K189="","",VLOOKUP(F189,Tabelle1!$A$2:$I$496,9,0))</f>
        <v/>
      </c>
      <c r="M189" s="57" t="str">
        <f>IF(K189="","",VLOOKUP(F189,Tabelle1!$A$2:$G$496,7,0))</f>
        <v/>
      </c>
      <c r="N189" s="66" t="str">
        <f t="shared" si="5"/>
        <v/>
      </c>
      <c r="O189" s="66" t="str">
        <f>IF(K189="","",((K189*VLOOKUP(F189,Tabelle1!$A$2:$I$496,8,0))/$W$4))</f>
        <v/>
      </c>
      <c r="P189" s="76" t="str">
        <f>IF(K189="","",VLOOKUP(F189,Tabelle1!$A$2:$L$496,12,0))</f>
        <v/>
      </c>
    </row>
    <row r="190" spans="1:16">
      <c r="A190" s="67"/>
      <c r="B190" s="55" t="s">
        <v>361</v>
      </c>
      <c r="C190" s="55">
        <v>192</v>
      </c>
      <c r="D190" s="56" t="str">
        <f>IF(K190="","",VLOOKUP(F190,Tabelle1!$A$2:$C$496,3,0))</f>
        <v/>
      </c>
      <c r="E190" s="57" t="str">
        <f>IF(K190="","",VLOOKUP(F190,Tabelle1!$A$2:$M$496,13,0))</f>
        <v/>
      </c>
      <c r="F190" s="56"/>
      <c r="G190" s="57"/>
      <c r="H190" s="57"/>
      <c r="I190" s="57"/>
      <c r="J190" s="57"/>
      <c r="K190" s="57"/>
      <c r="L190" s="57" t="str">
        <f>IF(K190="","",VLOOKUP(F190,Tabelle1!$A$2:$I$496,9,0))</f>
        <v/>
      </c>
      <c r="M190" s="57" t="str">
        <f>IF(K190="","",VLOOKUP(F190,Tabelle1!$A$2:$G$496,7,0))</f>
        <v/>
      </c>
      <c r="N190" s="66" t="str">
        <f t="shared" si="5"/>
        <v/>
      </c>
      <c r="O190" s="66" t="str">
        <f>IF(K190="","",((K190*VLOOKUP(F190,Tabelle1!$A$2:$I$496,8,0))/$W$4))</f>
        <v/>
      </c>
      <c r="P190" s="76" t="str">
        <f>IF(K190="","",VLOOKUP(F190,Tabelle1!$A$2:$L$496,12,0))</f>
        <v/>
      </c>
    </row>
    <row r="191" spans="1:16">
      <c r="A191" s="67"/>
      <c r="B191" s="55" t="s">
        <v>361</v>
      </c>
      <c r="C191" s="55">
        <v>193</v>
      </c>
      <c r="D191" s="56" t="str">
        <f>IF(K191="","",VLOOKUP(F191,Tabelle1!$A$2:$C$496,3,0))</f>
        <v/>
      </c>
      <c r="E191" s="57" t="str">
        <f>IF(K191="","",VLOOKUP(F191,Tabelle1!$A$2:$M$496,13,0))</f>
        <v/>
      </c>
      <c r="F191" s="56"/>
      <c r="G191" s="57"/>
      <c r="H191" s="57"/>
      <c r="I191" s="57"/>
      <c r="J191" s="57"/>
      <c r="K191" s="57"/>
      <c r="L191" s="57" t="str">
        <f>IF(K191="","",VLOOKUP(F191,Tabelle1!$A$2:$I$496,9,0))</f>
        <v/>
      </c>
      <c r="M191" s="57" t="str">
        <f>IF(K191="","",VLOOKUP(F191,Tabelle1!$A$2:$G$496,7,0))</f>
        <v/>
      </c>
      <c r="N191" s="66" t="str">
        <f t="shared" si="5"/>
        <v/>
      </c>
      <c r="O191" s="66" t="str">
        <f>IF(K191="","",((K191*VLOOKUP(F191,Tabelle1!$A$2:$I$496,8,0))/$W$4))</f>
        <v/>
      </c>
      <c r="P191" s="76" t="str">
        <f>IF(K191="","",VLOOKUP(F191,Tabelle1!$A$2:$L$496,12,0))</f>
        <v/>
      </c>
    </row>
    <row r="192" spans="1:16">
      <c r="A192" s="67"/>
      <c r="B192" s="55" t="s">
        <v>361</v>
      </c>
      <c r="C192" s="55">
        <v>194</v>
      </c>
      <c r="D192" s="56" t="str">
        <f>IF(K192="","",VLOOKUP(F192,Tabelle1!$A$2:$C$496,3,0))</f>
        <v/>
      </c>
      <c r="E192" s="57" t="str">
        <f>IF(K192="","",VLOOKUP(F192,Tabelle1!$A$2:$M$496,13,0))</f>
        <v/>
      </c>
      <c r="F192" s="56"/>
      <c r="G192" s="57"/>
      <c r="H192" s="57"/>
      <c r="I192" s="57"/>
      <c r="J192" s="57"/>
      <c r="K192" s="57"/>
      <c r="L192" s="57" t="str">
        <f>IF(K192="","",VLOOKUP(F192,Tabelle1!$A$2:$I$496,9,0))</f>
        <v/>
      </c>
      <c r="M192" s="57" t="str">
        <f>IF(K192="","",VLOOKUP(F192,Tabelle1!$A$2:$G$496,7,0))</f>
        <v/>
      </c>
      <c r="N192" s="66" t="str">
        <f t="shared" si="5"/>
        <v/>
      </c>
      <c r="O192" s="66" t="str">
        <f>IF(K192="","",((K192*VLOOKUP(F192,Tabelle1!$A$2:$I$496,8,0))/$W$4))</f>
        <v/>
      </c>
      <c r="P192" s="76" t="str">
        <f>IF(K192="","",VLOOKUP(F192,Tabelle1!$A$2:$L$496,12,0))</f>
        <v/>
      </c>
    </row>
    <row r="193" spans="1:16">
      <c r="A193" s="67"/>
      <c r="B193" s="55" t="s">
        <v>361</v>
      </c>
      <c r="C193" s="55">
        <v>195</v>
      </c>
      <c r="D193" s="56" t="str">
        <f>IF(K193="","",VLOOKUP(F193,Tabelle1!$A$2:$C$496,3,0))</f>
        <v/>
      </c>
      <c r="E193" s="57" t="str">
        <f>IF(K193="","",VLOOKUP(F193,Tabelle1!$A$2:$M$496,13,0))</f>
        <v/>
      </c>
      <c r="F193" s="56"/>
      <c r="G193" s="57"/>
      <c r="H193" s="57"/>
      <c r="I193" s="57"/>
      <c r="J193" s="57"/>
      <c r="K193" s="57"/>
      <c r="L193" s="57" t="str">
        <f>IF(K193="","",VLOOKUP(F193,Tabelle1!$A$2:$I$496,9,0))</f>
        <v/>
      </c>
      <c r="M193" s="57" t="str">
        <f>IF(K193="","",VLOOKUP(F193,Tabelle1!$A$2:$G$496,7,0))</f>
        <v/>
      </c>
      <c r="N193" s="66" t="str">
        <f t="shared" si="5"/>
        <v/>
      </c>
      <c r="O193" s="66" t="str">
        <f>IF(K193="","",((K193*VLOOKUP(F193,Tabelle1!$A$2:$I$496,8,0))/$W$4))</f>
        <v/>
      </c>
      <c r="P193" s="76" t="str">
        <f>IF(K193="","",VLOOKUP(F193,Tabelle1!$A$2:$L$496,12,0))</f>
        <v/>
      </c>
    </row>
    <row r="194" spans="1:16">
      <c r="A194" s="67"/>
      <c r="B194" s="55" t="s">
        <v>361</v>
      </c>
      <c r="C194" s="55">
        <v>196</v>
      </c>
      <c r="D194" s="56" t="str">
        <f>IF(K194="","",VLOOKUP(F194,Tabelle1!$A$2:$C$496,3,0))</f>
        <v/>
      </c>
      <c r="E194" s="57" t="str">
        <f>IF(K194="","",VLOOKUP(F194,Tabelle1!$A$2:$M$496,13,0))</f>
        <v/>
      </c>
      <c r="F194" s="56"/>
      <c r="G194" s="57"/>
      <c r="H194" s="57"/>
      <c r="I194" s="57"/>
      <c r="J194" s="57"/>
      <c r="K194" s="57"/>
      <c r="L194" s="57" t="str">
        <f>IF(K194="","",VLOOKUP(F194,Tabelle1!$A$2:$I$496,9,0))</f>
        <v/>
      </c>
      <c r="M194" s="57" t="str">
        <f>IF(K194="","",VLOOKUP(F194,Tabelle1!$A$2:$G$496,7,0))</f>
        <v/>
      </c>
      <c r="N194" s="66" t="str">
        <f t="shared" si="5"/>
        <v/>
      </c>
      <c r="O194" s="66" t="str">
        <f>IF(K194="","",((K194*VLOOKUP(F194,Tabelle1!$A$2:$I$496,8,0))/$W$4))</f>
        <v/>
      </c>
      <c r="P194" s="76" t="str">
        <f>IF(K194="","",VLOOKUP(F194,Tabelle1!$A$2:$L$496,12,0))</f>
        <v/>
      </c>
    </row>
    <row r="195" spans="1:16">
      <c r="A195" s="67"/>
      <c r="B195" s="55" t="s">
        <v>361</v>
      </c>
      <c r="C195" s="55">
        <v>197</v>
      </c>
      <c r="D195" s="56" t="str">
        <f>IF(K195="","",VLOOKUP(F195,Tabelle1!$A$2:$C$496,3,0))</f>
        <v/>
      </c>
      <c r="E195" s="57" t="str">
        <f>IF(K195="","",VLOOKUP(F195,Tabelle1!$A$2:$M$496,13,0))</f>
        <v/>
      </c>
      <c r="F195" s="56"/>
      <c r="G195" s="57"/>
      <c r="H195" s="57"/>
      <c r="I195" s="57"/>
      <c r="J195" s="57"/>
      <c r="K195" s="57"/>
      <c r="L195" s="57" t="str">
        <f>IF(K195="","",VLOOKUP(F195,Tabelle1!$A$2:$I$496,9,0))</f>
        <v/>
      </c>
      <c r="M195" s="57" t="str">
        <f>IF(K195="","",VLOOKUP(F195,Tabelle1!$A$2:$G$496,7,0))</f>
        <v/>
      </c>
      <c r="N195" s="66" t="str">
        <f t="shared" si="5"/>
        <v/>
      </c>
      <c r="O195" s="66" t="str">
        <f>IF(K195="","",((K195*VLOOKUP(F195,Tabelle1!$A$2:$I$496,8,0))/$W$4))</f>
        <v/>
      </c>
      <c r="P195" s="76" t="str">
        <f>IF(K195="","",VLOOKUP(F195,Tabelle1!$A$2:$L$496,12,0))</f>
        <v/>
      </c>
    </row>
    <row r="196" spans="1:16">
      <c r="A196" s="67"/>
      <c r="B196" s="55" t="s">
        <v>361</v>
      </c>
      <c r="C196" s="55">
        <v>198</v>
      </c>
      <c r="D196" s="56" t="str">
        <f>IF(K196="","",VLOOKUP(F196,Tabelle1!$A$2:$C$496,3,0))</f>
        <v/>
      </c>
      <c r="E196" s="57" t="str">
        <f>IF(K196="","",VLOOKUP(F196,Tabelle1!$A$2:$M$496,13,0))</f>
        <v/>
      </c>
      <c r="F196" s="56"/>
      <c r="G196" s="57"/>
      <c r="H196" s="57"/>
      <c r="I196" s="57"/>
      <c r="J196" s="57"/>
      <c r="K196" s="57"/>
      <c r="L196" s="57" t="str">
        <f>IF(K196="","",VLOOKUP(F196,Tabelle1!$A$2:$I$496,9,0))</f>
        <v/>
      </c>
      <c r="M196" s="57" t="str">
        <f>IF(K196="","",VLOOKUP(F196,Tabelle1!$A$2:$G$496,7,0))</f>
        <v/>
      </c>
      <c r="N196" s="66" t="str">
        <f t="shared" si="5"/>
        <v/>
      </c>
      <c r="O196" s="66" t="str">
        <f>IF(K196="","",((K196*VLOOKUP(F196,Tabelle1!$A$2:$I$496,8,0))/$W$4))</f>
        <v/>
      </c>
      <c r="P196" s="76" t="str">
        <f>IF(K196="","",VLOOKUP(F196,Tabelle1!$A$2:$L$496,12,0))</f>
        <v/>
      </c>
    </row>
    <row r="197" spans="1:16">
      <c r="A197" s="67"/>
      <c r="B197" s="55" t="s">
        <v>361</v>
      </c>
      <c r="C197" s="55">
        <v>199</v>
      </c>
      <c r="D197" s="56" t="str">
        <f>IF(K197="","",VLOOKUP(F197,Tabelle1!$A$2:$C$496,3,0))</f>
        <v/>
      </c>
      <c r="E197" s="57" t="str">
        <f>IF(K197="","",VLOOKUP(F197,Tabelle1!$A$2:$M$496,13,0))</f>
        <v/>
      </c>
      <c r="F197" s="56"/>
      <c r="G197" s="57"/>
      <c r="H197" s="57"/>
      <c r="I197" s="57"/>
      <c r="J197" s="57"/>
      <c r="K197" s="57"/>
      <c r="L197" s="57" t="str">
        <f>IF(K197="","",VLOOKUP(F197,Tabelle1!$A$2:$I$496,9,0))</f>
        <v/>
      </c>
      <c r="M197" s="57" t="str">
        <f>IF(K197="","",VLOOKUP(F197,Tabelle1!$A$2:$G$496,7,0))</f>
        <v/>
      </c>
      <c r="N197" s="66" t="str">
        <f t="shared" ref="N197:N260" si="6">IF(M197&gt;0,O197,"")</f>
        <v/>
      </c>
      <c r="O197" s="66" t="str">
        <f>IF(K197="","",((K197*VLOOKUP(F197,Tabelle1!$A$2:$I$496,8,0))/$W$4))</f>
        <v/>
      </c>
      <c r="P197" s="76" t="str">
        <f>IF(K197="","",VLOOKUP(F197,Tabelle1!$A$2:$L$496,12,0))</f>
        <v/>
      </c>
    </row>
    <row r="198" spans="1:16">
      <c r="A198" s="67"/>
      <c r="B198" s="55" t="s">
        <v>361</v>
      </c>
      <c r="C198" s="55">
        <v>200</v>
      </c>
      <c r="D198" s="56" t="str">
        <f>IF(K198="","",VLOOKUP(F198,Tabelle1!$A$2:$C$496,3,0))</f>
        <v/>
      </c>
      <c r="E198" s="57" t="str">
        <f>IF(K198="","",VLOOKUP(F198,Tabelle1!$A$2:$M$496,13,0))</f>
        <v/>
      </c>
      <c r="F198" s="56"/>
      <c r="G198" s="57"/>
      <c r="H198" s="57"/>
      <c r="I198" s="57"/>
      <c r="J198" s="57"/>
      <c r="K198" s="57"/>
      <c r="L198" s="57" t="str">
        <f>IF(K198="","",VLOOKUP(F198,Tabelle1!$A$2:$I$496,9,0))</f>
        <v/>
      </c>
      <c r="M198" s="57" t="str">
        <f>IF(K198="","",VLOOKUP(F198,Tabelle1!$A$2:$G$496,7,0))</f>
        <v/>
      </c>
      <c r="N198" s="66" t="str">
        <f t="shared" si="6"/>
        <v/>
      </c>
      <c r="O198" s="66" t="str">
        <f>IF(K198="","",((K198*VLOOKUP(F198,Tabelle1!$A$2:$I$496,8,0))/$W$4))</f>
        <v/>
      </c>
      <c r="P198" s="76" t="str">
        <f>IF(K198="","",VLOOKUP(F198,Tabelle1!$A$2:$L$496,12,0))</f>
        <v/>
      </c>
    </row>
    <row r="199" spans="1:16">
      <c r="A199" s="67"/>
      <c r="B199" s="55" t="s">
        <v>361</v>
      </c>
      <c r="C199" s="55">
        <v>201</v>
      </c>
      <c r="D199" s="56" t="str">
        <f>IF(K199="","",VLOOKUP(F199,Tabelle1!$A$2:$C$496,3,0))</f>
        <v/>
      </c>
      <c r="E199" s="57" t="str">
        <f>IF(K199="","",VLOOKUP(F199,Tabelle1!$A$2:$M$496,13,0))</f>
        <v/>
      </c>
      <c r="F199" s="56"/>
      <c r="G199" s="57"/>
      <c r="H199" s="57"/>
      <c r="I199" s="57"/>
      <c r="J199" s="57"/>
      <c r="K199" s="57"/>
      <c r="L199" s="57" t="str">
        <f>IF(K199="","",VLOOKUP(F199,Tabelle1!$A$2:$I$496,9,0))</f>
        <v/>
      </c>
      <c r="M199" s="57" t="str">
        <f>IF(K199="","",VLOOKUP(F199,Tabelle1!$A$2:$G$496,7,0))</f>
        <v/>
      </c>
      <c r="N199" s="66" t="str">
        <f t="shared" si="6"/>
        <v/>
      </c>
      <c r="O199" s="66" t="str">
        <f>IF(K199="","",((K199*VLOOKUP(F199,Tabelle1!$A$2:$I$496,8,0))/$W$4))</f>
        <v/>
      </c>
      <c r="P199" s="76" t="str">
        <f>IF(K199="","",VLOOKUP(F199,Tabelle1!$A$2:$L$496,12,0))</f>
        <v/>
      </c>
    </row>
    <row r="200" spans="1:16">
      <c r="A200" s="67"/>
      <c r="B200" s="55" t="s">
        <v>361</v>
      </c>
      <c r="C200" s="55">
        <v>202</v>
      </c>
      <c r="D200" s="56" t="str">
        <f>IF(K200="","",VLOOKUP(F200,Tabelle1!$A$2:$C$496,3,0))</f>
        <v/>
      </c>
      <c r="E200" s="57" t="str">
        <f>IF(K200="","",VLOOKUP(F200,Tabelle1!$A$2:$M$496,13,0))</f>
        <v/>
      </c>
      <c r="F200" s="56"/>
      <c r="G200" s="57"/>
      <c r="H200" s="57"/>
      <c r="I200" s="57"/>
      <c r="J200" s="57"/>
      <c r="K200" s="57"/>
      <c r="L200" s="57" t="str">
        <f>IF(K200="","",VLOOKUP(F200,Tabelle1!$A$2:$I$496,9,0))</f>
        <v/>
      </c>
      <c r="M200" s="57" t="str">
        <f>IF(K200="","",VLOOKUP(F200,Tabelle1!$A$2:$G$496,7,0))</f>
        <v/>
      </c>
      <c r="N200" s="66" t="str">
        <f t="shared" si="6"/>
        <v/>
      </c>
      <c r="O200" s="66" t="str">
        <f>IF(K200="","",((K200*VLOOKUP(F200,Tabelle1!$A$2:$I$496,8,0))/$W$4))</f>
        <v/>
      </c>
      <c r="P200" s="76" t="str">
        <f>IF(K200="","",VLOOKUP(F200,Tabelle1!$A$2:$L$496,12,0))</f>
        <v/>
      </c>
    </row>
    <row r="201" spans="1:16">
      <c r="A201" s="67"/>
      <c r="B201" s="55" t="s">
        <v>361</v>
      </c>
      <c r="C201" s="55">
        <v>203</v>
      </c>
      <c r="D201" s="56" t="str">
        <f>IF(K201="","",VLOOKUP(F201,Tabelle1!$A$2:$C$496,3,0))</f>
        <v/>
      </c>
      <c r="E201" s="57" t="str">
        <f>IF(K201="","",VLOOKUP(F201,Tabelle1!$A$2:$M$496,13,0))</f>
        <v/>
      </c>
      <c r="F201" s="56"/>
      <c r="G201" s="57"/>
      <c r="H201" s="57"/>
      <c r="I201" s="57"/>
      <c r="J201" s="57"/>
      <c r="K201" s="57"/>
      <c r="L201" s="57" t="str">
        <f>IF(K201="","",VLOOKUP(F201,Tabelle1!$A$2:$I$496,9,0))</f>
        <v/>
      </c>
      <c r="M201" s="57" t="str">
        <f>IF(K201="","",VLOOKUP(F201,Tabelle1!$A$2:$G$496,7,0))</f>
        <v/>
      </c>
      <c r="N201" s="66" t="str">
        <f t="shared" si="6"/>
        <v/>
      </c>
      <c r="O201" s="66" t="str">
        <f>IF(K201="","",((K201*VLOOKUP(F201,Tabelle1!$A$2:$I$496,8,0))/$W$4))</f>
        <v/>
      </c>
      <c r="P201" s="76" t="str">
        <f>IF(K201="","",VLOOKUP(F201,Tabelle1!$A$2:$L$496,12,0))</f>
        <v/>
      </c>
    </row>
    <row r="202" spans="1:16">
      <c r="A202" s="67"/>
      <c r="B202" s="55" t="s">
        <v>361</v>
      </c>
      <c r="C202" s="55">
        <v>204</v>
      </c>
      <c r="D202" s="56" t="str">
        <f>IF(K202="","",VLOOKUP(F202,Tabelle1!$A$2:$C$496,3,0))</f>
        <v/>
      </c>
      <c r="E202" s="57" t="str">
        <f>IF(K202="","",VLOOKUP(F202,Tabelle1!$A$2:$M$496,13,0))</f>
        <v/>
      </c>
      <c r="F202" s="56"/>
      <c r="G202" s="57"/>
      <c r="H202" s="57"/>
      <c r="I202" s="57"/>
      <c r="J202" s="57"/>
      <c r="K202" s="57"/>
      <c r="L202" s="57" t="str">
        <f>IF(K202="","",VLOOKUP(F202,Tabelle1!$A$2:$I$496,9,0))</f>
        <v/>
      </c>
      <c r="M202" s="57" t="str">
        <f>IF(K202="","",VLOOKUP(F202,Tabelle1!$A$2:$G$496,7,0))</f>
        <v/>
      </c>
      <c r="N202" s="66" t="str">
        <f t="shared" si="6"/>
        <v/>
      </c>
      <c r="O202" s="66" t="str">
        <f>IF(K202="","",((K202*VLOOKUP(F202,Tabelle1!$A$2:$I$496,8,0))/$W$4))</f>
        <v/>
      </c>
      <c r="P202" s="76" t="str">
        <f>IF(K202="","",VLOOKUP(F202,Tabelle1!$A$2:$L$496,12,0))</f>
        <v/>
      </c>
    </row>
    <row r="203" spans="1:16">
      <c r="A203" s="67"/>
      <c r="B203" s="55" t="s">
        <v>361</v>
      </c>
      <c r="C203" s="55">
        <v>205</v>
      </c>
      <c r="D203" s="56" t="str">
        <f>IF(K203="","",VLOOKUP(F203,Tabelle1!$A$2:$C$496,3,0))</f>
        <v/>
      </c>
      <c r="E203" s="57" t="str">
        <f>IF(K203="","",VLOOKUP(F203,Tabelle1!$A$2:$M$496,13,0))</f>
        <v/>
      </c>
      <c r="F203" s="56"/>
      <c r="G203" s="57"/>
      <c r="H203" s="57"/>
      <c r="I203" s="57"/>
      <c r="J203" s="57"/>
      <c r="K203" s="57"/>
      <c r="L203" s="57" t="str">
        <f>IF(K203="","",VLOOKUP(F203,Tabelle1!$A$2:$I$496,9,0))</f>
        <v/>
      </c>
      <c r="M203" s="57" t="str">
        <f>IF(K203="","",VLOOKUP(F203,Tabelle1!$A$2:$G$496,7,0))</f>
        <v/>
      </c>
      <c r="N203" s="66" t="str">
        <f t="shared" si="6"/>
        <v/>
      </c>
      <c r="O203" s="66" t="str">
        <f>IF(K203="","",((K203*VLOOKUP(F203,Tabelle1!$A$2:$I$496,8,0))/$W$4))</f>
        <v/>
      </c>
      <c r="P203" s="76" t="str">
        <f>IF(K203="","",VLOOKUP(F203,Tabelle1!$A$2:$L$496,12,0))</f>
        <v/>
      </c>
    </row>
    <row r="204" spans="1:16">
      <c r="A204" s="67"/>
      <c r="B204" s="55" t="s">
        <v>361</v>
      </c>
      <c r="C204" s="55">
        <v>206</v>
      </c>
      <c r="D204" s="56" t="str">
        <f>IF(K204="","",VLOOKUP(F204,Tabelle1!$A$2:$C$496,3,0))</f>
        <v/>
      </c>
      <c r="E204" s="57" t="str">
        <f>IF(K204="","",VLOOKUP(F204,Tabelle1!$A$2:$M$496,13,0))</f>
        <v/>
      </c>
      <c r="F204" s="56"/>
      <c r="G204" s="57"/>
      <c r="H204" s="57"/>
      <c r="I204" s="57"/>
      <c r="J204" s="57"/>
      <c r="K204" s="57"/>
      <c r="L204" s="57" t="str">
        <f>IF(K204="","",VLOOKUP(F204,Tabelle1!$A$2:$I$496,9,0))</f>
        <v/>
      </c>
      <c r="M204" s="57" t="str">
        <f>IF(K204="","",VLOOKUP(F204,Tabelle1!$A$2:$G$496,7,0))</f>
        <v/>
      </c>
      <c r="N204" s="66" t="str">
        <f t="shared" si="6"/>
        <v/>
      </c>
      <c r="O204" s="66" t="str">
        <f>IF(K204="","",((K204*VLOOKUP(F204,Tabelle1!$A$2:$I$496,8,0))/$W$4))</f>
        <v/>
      </c>
      <c r="P204" s="76" t="str">
        <f>IF(K204="","",VLOOKUP(F204,Tabelle1!$A$2:$L$496,12,0))</f>
        <v/>
      </c>
    </row>
    <row r="205" spans="1:16">
      <c r="A205" s="67"/>
      <c r="B205" s="55" t="s">
        <v>361</v>
      </c>
      <c r="C205" s="55">
        <v>207</v>
      </c>
      <c r="D205" s="56" t="str">
        <f>IF(K205="","",VLOOKUP(F205,Tabelle1!$A$2:$C$496,3,0))</f>
        <v/>
      </c>
      <c r="E205" s="57" t="str">
        <f>IF(K205="","",VLOOKUP(F205,Tabelle1!$A$2:$M$496,13,0))</f>
        <v/>
      </c>
      <c r="F205" s="56"/>
      <c r="G205" s="57"/>
      <c r="H205" s="57"/>
      <c r="I205" s="57"/>
      <c r="J205" s="57"/>
      <c r="K205" s="57"/>
      <c r="L205" s="57" t="str">
        <f>IF(K205="","",VLOOKUP(F205,Tabelle1!$A$2:$I$496,9,0))</f>
        <v/>
      </c>
      <c r="M205" s="57" t="str">
        <f>IF(K205="","",VLOOKUP(F205,Tabelle1!$A$2:$G$496,7,0))</f>
        <v/>
      </c>
      <c r="N205" s="66" t="str">
        <f t="shared" si="6"/>
        <v/>
      </c>
      <c r="O205" s="66" t="str">
        <f>IF(K205="","",((K205*VLOOKUP(F205,Tabelle1!$A$2:$I$496,8,0))/$W$4))</f>
        <v/>
      </c>
      <c r="P205" s="76" t="str">
        <f>IF(K205="","",VLOOKUP(F205,Tabelle1!$A$2:$L$496,12,0))</f>
        <v/>
      </c>
    </row>
    <row r="206" spans="1:16">
      <c r="A206" s="67"/>
      <c r="B206" s="55" t="s">
        <v>361</v>
      </c>
      <c r="C206" s="55">
        <v>208</v>
      </c>
      <c r="D206" s="56" t="str">
        <f>IF(K206="","",VLOOKUP(F206,Tabelle1!$A$2:$C$496,3,0))</f>
        <v/>
      </c>
      <c r="E206" s="57" t="str">
        <f>IF(K206="","",VLOOKUP(F206,Tabelle1!$A$2:$M$496,13,0))</f>
        <v/>
      </c>
      <c r="F206" s="56"/>
      <c r="G206" s="57"/>
      <c r="H206" s="57"/>
      <c r="I206" s="57"/>
      <c r="J206" s="57"/>
      <c r="K206" s="57"/>
      <c r="L206" s="57" t="str">
        <f>IF(K206="","",VLOOKUP(F206,Tabelle1!$A$2:$I$496,9,0))</f>
        <v/>
      </c>
      <c r="M206" s="57" t="str">
        <f>IF(K206="","",VLOOKUP(F206,Tabelle1!$A$2:$G$496,7,0))</f>
        <v/>
      </c>
      <c r="N206" s="66" t="str">
        <f t="shared" si="6"/>
        <v/>
      </c>
      <c r="O206" s="66" t="str">
        <f>IF(K206="","",((K206*VLOOKUP(F206,Tabelle1!$A$2:$I$496,8,0))/$W$4))</f>
        <v/>
      </c>
      <c r="P206" s="76" t="str">
        <f>IF(K206="","",VLOOKUP(F206,Tabelle1!$A$2:$L$496,12,0))</f>
        <v/>
      </c>
    </row>
    <row r="207" spans="1:16">
      <c r="A207" s="67"/>
      <c r="B207" s="55" t="s">
        <v>361</v>
      </c>
      <c r="C207" s="55">
        <v>209</v>
      </c>
      <c r="D207" s="56" t="str">
        <f>IF(K207="","",VLOOKUP(F207,Tabelle1!$A$2:$C$496,3,0))</f>
        <v/>
      </c>
      <c r="E207" s="57" t="str">
        <f>IF(K207="","",VLOOKUP(F207,Tabelle1!$A$2:$M$496,13,0))</f>
        <v/>
      </c>
      <c r="F207" s="56"/>
      <c r="G207" s="57"/>
      <c r="H207" s="57"/>
      <c r="I207" s="57"/>
      <c r="J207" s="57"/>
      <c r="K207" s="57"/>
      <c r="L207" s="57" t="str">
        <f>IF(K207="","",VLOOKUP(F207,Tabelle1!$A$2:$I$496,9,0))</f>
        <v/>
      </c>
      <c r="M207" s="57" t="str">
        <f>IF(K207="","",VLOOKUP(F207,Tabelle1!$A$2:$G$496,7,0))</f>
        <v/>
      </c>
      <c r="N207" s="66" t="str">
        <f t="shared" si="6"/>
        <v/>
      </c>
      <c r="O207" s="66" t="str">
        <f>IF(K207="","",((K207*VLOOKUP(F207,Tabelle1!$A$2:$I$496,8,0))/$W$4))</f>
        <v/>
      </c>
      <c r="P207" s="76" t="str">
        <f>IF(K207="","",VLOOKUP(F207,Tabelle1!$A$2:$L$496,12,0))</f>
        <v/>
      </c>
    </row>
    <row r="208" spans="1:16">
      <c r="A208" s="67"/>
      <c r="B208" s="55" t="s">
        <v>361</v>
      </c>
      <c r="C208" s="55">
        <v>210</v>
      </c>
      <c r="D208" s="56" t="str">
        <f>IF(K208="","",VLOOKUP(F208,Tabelle1!$A$2:$C$496,3,0))</f>
        <v/>
      </c>
      <c r="E208" s="57" t="str">
        <f>IF(K208="","",VLOOKUP(F208,Tabelle1!$A$2:$M$496,13,0))</f>
        <v/>
      </c>
      <c r="F208" s="56"/>
      <c r="G208" s="57"/>
      <c r="H208" s="57"/>
      <c r="I208" s="57"/>
      <c r="J208" s="57"/>
      <c r="K208" s="57"/>
      <c r="L208" s="57" t="str">
        <f>IF(K208="","",VLOOKUP(F208,Tabelle1!$A$2:$I$496,9,0))</f>
        <v/>
      </c>
      <c r="M208" s="57" t="str">
        <f>IF(K208="","",VLOOKUP(F208,Tabelle1!$A$2:$G$496,7,0))</f>
        <v/>
      </c>
      <c r="N208" s="66" t="str">
        <f t="shared" si="6"/>
        <v/>
      </c>
      <c r="O208" s="66" t="str">
        <f>IF(K208="","",((K208*VLOOKUP(F208,Tabelle1!$A$2:$I$496,8,0))/$W$4))</f>
        <v/>
      </c>
      <c r="P208" s="76" t="str">
        <f>IF(K208="","",VLOOKUP(F208,Tabelle1!$A$2:$L$496,12,0))</f>
        <v/>
      </c>
    </row>
    <row r="209" spans="1:16">
      <c r="A209" s="67"/>
      <c r="B209" s="55" t="s">
        <v>361</v>
      </c>
      <c r="C209" s="55">
        <v>211</v>
      </c>
      <c r="D209" s="56" t="str">
        <f>IF(K209="","",VLOOKUP(F209,Tabelle1!$A$2:$C$496,3,0))</f>
        <v/>
      </c>
      <c r="E209" s="57" t="str">
        <f>IF(K209="","",VLOOKUP(F209,Tabelle1!$A$2:$M$496,13,0))</f>
        <v/>
      </c>
      <c r="F209" s="56"/>
      <c r="G209" s="57"/>
      <c r="H209" s="57"/>
      <c r="I209" s="57"/>
      <c r="J209" s="57"/>
      <c r="K209" s="57"/>
      <c r="L209" s="57" t="str">
        <f>IF(K209="","",VLOOKUP(F209,Tabelle1!$A$2:$I$496,9,0))</f>
        <v/>
      </c>
      <c r="M209" s="57" t="str">
        <f>IF(K209="","",VLOOKUP(F209,Tabelle1!$A$2:$G$496,7,0))</f>
        <v/>
      </c>
      <c r="N209" s="66" t="str">
        <f t="shared" si="6"/>
        <v/>
      </c>
      <c r="O209" s="66" t="str">
        <f>IF(K209="","",((K209*VLOOKUP(F209,Tabelle1!$A$2:$I$496,8,0))/$W$4))</f>
        <v/>
      </c>
      <c r="P209" s="76" t="str">
        <f>IF(K209="","",VLOOKUP(F209,Tabelle1!$A$2:$L$496,12,0))</f>
        <v/>
      </c>
    </row>
    <row r="210" spans="1:16">
      <c r="A210" s="67"/>
      <c r="B210" s="55" t="s">
        <v>361</v>
      </c>
      <c r="C210" s="55">
        <v>212</v>
      </c>
      <c r="D210" s="56" t="str">
        <f>IF(K210="","",VLOOKUP(F210,Tabelle1!$A$2:$C$496,3,0))</f>
        <v/>
      </c>
      <c r="E210" s="57" t="str">
        <f>IF(K210="","",VLOOKUP(F210,Tabelle1!$A$2:$M$496,13,0))</f>
        <v/>
      </c>
      <c r="F210" s="56"/>
      <c r="G210" s="57"/>
      <c r="H210" s="57"/>
      <c r="I210" s="57"/>
      <c r="J210" s="57"/>
      <c r="K210" s="57"/>
      <c r="L210" s="57" t="str">
        <f>IF(K210="","",VLOOKUP(F210,Tabelle1!$A$2:$I$496,9,0))</f>
        <v/>
      </c>
      <c r="M210" s="57" t="str">
        <f>IF(K210="","",VLOOKUP(F210,Tabelle1!$A$2:$G$496,7,0))</f>
        <v/>
      </c>
      <c r="N210" s="66" t="str">
        <f t="shared" si="6"/>
        <v/>
      </c>
      <c r="O210" s="66" t="str">
        <f>IF(K210="","",((K210*VLOOKUP(F210,Tabelle1!$A$2:$I$496,8,0))/$W$4))</f>
        <v/>
      </c>
      <c r="P210" s="76" t="str">
        <f>IF(K210="","",VLOOKUP(F210,Tabelle1!$A$2:$L$496,12,0))</f>
        <v/>
      </c>
    </row>
    <row r="211" spans="1:16">
      <c r="A211" s="67"/>
      <c r="B211" s="55" t="s">
        <v>361</v>
      </c>
      <c r="C211" s="55">
        <v>213</v>
      </c>
      <c r="D211" s="56" t="str">
        <f>IF(K211="","",VLOOKUP(F211,Tabelle1!$A$2:$C$496,3,0))</f>
        <v/>
      </c>
      <c r="E211" s="57" t="str">
        <f>IF(K211="","",VLOOKUP(F211,Tabelle1!$A$2:$M$496,13,0))</f>
        <v/>
      </c>
      <c r="F211" s="56"/>
      <c r="G211" s="57"/>
      <c r="H211" s="57"/>
      <c r="I211" s="57"/>
      <c r="J211" s="57"/>
      <c r="K211" s="57"/>
      <c r="L211" s="57" t="str">
        <f>IF(K211="","",VLOOKUP(F211,Tabelle1!$A$2:$I$496,9,0))</f>
        <v/>
      </c>
      <c r="M211" s="57" t="str">
        <f>IF(K211="","",VLOOKUP(F211,Tabelle1!$A$2:$G$496,7,0))</f>
        <v/>
      </c>
      <c r="N211" s="66" t="str">
        <f t="shared" si="6"/>
        <v/>
      </c>
      <c r="O211" s="66" t="str">
        <f>IF(K211="","",((K211*VLOOKUP(F211,Tabelle1!$A$2:$I$496,8,0))/$W$4))</f>
        <v/>
      </c>
      <c r="P211" s="76" t="str">
        <f>IF(K211="","",VLOOKUP(F211,Tabelle1!$A$2:$L$496,12,0))</f>
        <v/>
      </c>
    </row>
    <row r="212" spans="1:16">
      <c r="A212" s="67"/>
      <c r="B212" s="55" t="s">
        <v>361</v>
      </c>
      <c r="C212" s="55">
        <v>214</v>
      </c>
      <c r="D212" s="56" t="str">
        <f>IF(K212="","",VLOOKUP(F212,Tabelle1!$A$2:$C$496,3,0))</f>
        <v/>
      </c>
      <c r="E212" s="57" t="str">
        <f>IF(K212="","",VLOOKUP(F212,Tabelle1!$A$2:$M$496,13,0))</f>
        <v/>
      </c>
      <c r="F212" s="56"/>
      <c r="G212" s="57"/>
      <c r="H212" s="57"/>
      <c r="I212" s="57"/>
      <c r="J212" s="57"/>
      <c r="K212" s="57"/>
      <c r="L212" s="57" t="str">
        <f>IF(K212="","",VLOOKUP(F212,Tabelle1!$A$2:$I$496,9,0))</f>
        <v/>
      </c>
      <c r="M212" s="57" t="str">
        <f>IF(K212="","",VLOOKUP(F212,Tabelle1!$A$2:$G$496,7,0))</f>
        <v/>
      </c>
      <c r="N212" s="66" t="str">
        <f t="shared" si="6"/>
        <v/>
      </c>
      <c r="O212" s="66" t="str">
        <f>IF(K212="","",((K212*VLOOKUP(F212,Tabelle1!$A$2:$I$496,8,0))/$W$4))</f>
        <v/>
      </c>
      <c r="P212" s="76" t="str">
        <f>IF(K212="","",VLOOKUP(F212,Tabelle1!$A$2:$L$496,12,0))</f>
        <v/>
      </c>
    </row>
    <row r="213" spans="1:16">
      <c r="A213" s="67"/>
      <c r="B213" s="55" t="s">
        <v>361</v>
      </c>
      <c r="C213" s="55">
        <v>215</v>
      </c>
      <c r="D213" s="56" t="str">
        <f>IF(K213="","",VLOOKUP(F213,Tabelle1!$A$2:$C$496,3,0))</f>
        <v/>
      </c>
      <c r="E213" s="57" t="str">
        <f>IF(K213="","",VLOOKUP(F213,Tabelle1!$A$2:$M$496,13,0))</f>
        <v/>
      </c>
      <c r="F213" s="56"/>
      <c r="G213" s="57"/>
      <c r="H213" s="57"/>
      <c r="I213" s="57"/>
      <c r="J213" s="57"/>
      <c r="K213" s="57"/>
      <c r="L213" s="57" t="str">
        <f>IF(K213="","",VLOOKUP(F213,Tabelle1!$A$2:$I$496,9,0))</f>
        <v/>
      </c>
      <c r="M213" s="57" t="str">
        <f>IF(K213="","",VLOOKUP(F213,Tabelle1!$A$2:$G$496,7,0))</f>
        <v/>
      </c>
      <c r="N213" s="66" t="str">
        <f t="shared" si="6"/>
        <v/>
      </c>
      <c r="O213" s="66" t="str">
        <f>IF(K213="","",((K213*VLOOKUP(F213,Tabelle1!$A$2:$I$496,8,0))/$W$4))</f>
        <v/>
      </c>
      <c r="P213" s="76" t="str">
        <f>IF(K213="","",VLOOKUP(F213,Tabelle1!$A$2:$L$496,12,0))</f>
        <v/>
      </c>
    </row>
    <row r="214" spans="1:16">
      <c r="A214" s="67"/>
      <c r="B214" s="55" t="s">
        <v>361</v>
      </c>
      <c r="C214" s="55">
        <v>216</v>
      </c>
      <c r="D214" s="56" t="str">
        <f>IF(K214="","",VLOOKUP(F214,Tabelle1!$A$2:$C$496,3,0))</f>
        <v/>
      </c>
      <c r="E214" s="57" t="str">
        <f>IF(K214="","",VLOOKUP(F214,Tabelle1!$A$2:$M$496,13,0))</f>
        <v/>
      </c>
      <c r="F214" s="56"/>
      <c r="G214" s="57"/>
      <c r="H214" s="57"/>
      <c r="I214" s="57"/>
      <c r="J214" s="57"/>
      <c r="K214" s="57"/>
      <c r="L214" s="57" t="str">
        <f>IF(K214="","",VLOOKUP(F214,Tabelle1!$A$2:$I$496,9,0))</f>
        <v/>
      </c>
      <c r="M214" s="57" t="str">
        <f>IF(K214="","",VLOOKUP(F214,Tabelle1!$A$2:$G$496,7,0))</f>
        <v/>
      </c>
      <c r="N214" s="66" t="str">
        <f t="shared" si="6"/>
        <v/>
      </c>
      <c r="O214" s="66" t="str">
        <f>IF(K214="","",((K214*VLOOKUP(F214,Tabelle1!$A$2:$I$496,8,0))/$W$4))</f>
        <v/>
      </c>
      <c r="P214" s="76" t="str">
        <f>IF(K214="","",VLOOKUP(F214,Tabelle1!$A$2:$L$496,12,0))</f>
        <v/>
      </c>
    </row>
    <row r="215" spans="1:16">
      <c r="A215" s="67"/>
      <c r="B215" s="55" t="s">
        <v>361</v>
      </c>
      <c r="C215" s="55">
        <v>217</v>
      </c>
      <c r="D215" s="56" t="str">
        <f>IF(K215="","",VLOOKUP(F215,Tabelle1!$A$2:$C$496,3,0))</f>
        <v/>
      </c>
      <c r="E215" s="57" t="str">
        <f>IF(K215="","",VLOOKUP(F215,Tabelle1!$A$2:$M$496,13,0))</f>
        <v/>
      </c>
      <c r="F215" s="56"/>
      <c r="G215" s="57"/>
      <c r="H215" s="57"/>
      <c r="I215" s="57"/>
      <c r="J215" s="57"/>
      <c r="K215" s="57"/>
      <c r="L215" s="57" t="str">
        <f>IF(K215="","",VLOOKUP(F215,Tabelle1!$A$2:$I$496,9,0))</f>
        <v/>
      </c>
      <c r="M215" s="57" t="str">
        <f>IF(K215="","",VLOOKUP(F215,Tabelle1!$A$2:$G$496,7,0))</f>
        <v/>
      </c>
      <c r="N215" s="66" t="str">
        <f t="shared" si="6"/>
        <v/>
      </c>
      <c r="O215" s="66" t="str">
        <f>IF(K215="","",((K215*VLOOKUP(F215,Tabelle1!$A$2:$I$496,8,0))/$W$4))</f>
        <v/>
      </c>
      <c r="P215" s="76" t="str">
        <f>IF(K215="","",VLOOKUP(F215,Tabelle1!$A$2:$L$496,12,0))</f>
        <v/>
      </c>
    </row>
    <row r="216" spans="1:16">
      <c r="A216" s="67"/>
      <c r="B216" s="55" t="s">
        <v>361</v>
      </c>
      <c r="C216" s="55">
        <v>218</v>
      </c>
      <c r="D216" s="56" t="str">
        <f>IF(K216="","",VLOOKUP(F216,Tabelle1!$A$2:$C$496,3,0))</f>
        <v/>
      </c>
      <c r="E216" s="57" t="str">
        <f>IF(K216="","",VLOOKUP(F216,Tabelle1!$A$2:$M$496,13,0))</f>
        <v/>
      </c>
      <c r="F216" s="56"/>
      <c r="G216" s="57"/>
      <c r="H216" s="57"/>
      <c r="I216" s="57"/>
      <c r="J216" s="57"/>
      <c r="K216" s="57"/>
      <c r="L216" s="57" t="str">
        <f>IF(K216="","",VLOOKUP(F216,Tabelle1!$A$2:$I$496,9,0))</f>
        <v/>
      </c>
      <c r="M216" s="57" t="str">
        <f>IF(K216="","",VLOOKUP(F216,Tabelle1!$A$2:$G$496,7,0))</f>
        <v/>
      </c>
      <c r="N216" s="66" t="str">
        <f t="shared" si="6"/>
        <v/>
      </c>
      <c r="O216" s="66" t="str">
        <f>IF(K216="","",((K216*VLOOKUP(F216,Tabelle1!$A$2:$I$496,8,0))/$W$4))</f>
        <v/>
      </c>
      <c r="P216" s="76" t="str">
        <f>IF(K216="","",VLOOKUP(F216,Tabelle1!$A$2:$L$496,12,0))</f>
        <v/>
      </c>
    </row>
    <row r="217" spans="1:16">
      <c r="A217" s="67"/>
      <c r="B217" s="55" t="s">
        <v>361</v>
      </c>
      <c r="C217" s="55">
        <v>219</v>
      </c>
      <c r="D217" s="56" t="str">
        <f>IF(K217="","",VLOOKUP(F217,Tabelle1!$A$2:$C$496,3,0))</f>
        <v/>
      </c>
      <c r="E217" s="57" t="str">
        <f>IF(K217="","",VLOOKUP(F217,Tabelle1!$A$2:$M$496,13,0))</f>
        <v/>
      </c>
      <c r="F217" s="56"/>
      <c r="G217" s="57"/>
      <c r="H217" s="57"/>
      <c r="I217" s="57"/>
      <c r="J217" s="57"/>
      <c r="K217" s="57"/>
      <c r="L217" s="57" t="str">
        <f>IF(K217="","",VLOOKUP(F217,Tabelle1!$A$2:$I$496,9,0))</f>
        <v/>
      </c>
      <c r="M217" s="57" t="str">
        <f>IF(K217="","",VLOOKUP(F217,Tabelle1!$A$2:$G$496,7,0))</f>
        <v/>
      </c>
      <c r="N217" s="66" t="str">
        <f t="shared" si="6"/>
        <v/>
      </c>
      <c r="O217" s="66" t="str">
        <f>IF(K217="","",((K217*VLOOKUP(F217,Tabelle1!$A$2:$I$496,8,0))/$W$4))</f>
        <v/>
      </c>
      <c r="P217" s="76" t="str">
        <f>IF(K217="","",VLOOKUP(F217,Tabelle1!$A$2:$L$496,12,0))</f>
        <v/>
      </c>
    </row>
    <row r="218" spans="1:16">
      <c r="A218" s="67"/>
      <c r="B218" s="55" t="s">
        <v>361</v>
      </c>
      <c r="C218" s="55">
        <v>220</v>
      </c>
      <c r="D218" s="56" t="str">
        <f>IF(K218="","",VLOOKUP(F218,Tabelle1!$A$2:$C$496,3,0))</f>
        <v/>
      </c>
      <c r="E218" s="57" t="str">
        <f>IF(K218="","",VLOOKUP(F218,Tabelle1!$A$2:$M$496,13,0))</f>
        <v/>
      </c>
      <c r="F218" s="56"/>
      <c r="G218" s="57"/>
      <c r="H218" s="57"/>
      <c r="I218" s="57"/>
      <c r="J218" s="57"/>
      <c r="K218" s="57"/>
      <c r="L218" s="57" t="str">
        <f>IF(K218="","",VLOOKUP(F218,Tabelle1!$A$2:$I$496,9,0))</f>
        <v/>
      </c>
      <c r="M218" s="57" t="str">
        <f>IF(K218="","",VLOOKUP(F218,Tabelle1!$A$2:$G$496,7,0))</f>
        <v/>
      </c>
      <c r="N218" s="66" t="str">
        <f t="shared" si="6"/>
        <v/>
      </c>
      <c r="O218" s="66" t="str">
        <f>IF(K218="","",((K218*VLOOKUP(F218,Tabelle1!$A$2:$I$496,8,0))/$W$4))</f>
        <v/>
      </c>
      <c r="P218" s="76" t="str">
        <f>IF(K218="","",VLOOKUP(F218,Tabelle1!$A$2:$L$496,12,0))</f>
        <v/>
      </c>
    </row>
    <row r="219" spans="1:16">
      <c r="A219" s="67"/>
      <c r="B219" s="55" t="s">
        <v>361</v>
      </c>
      <c r="C219" s="55">
        <v>221</v>
      </c>
      <c r="D219" s="56" t="str">
        <f>IF(K219="","",VLOOKUP(F219,Tabelle1!$A$2:$C$496,3,0))</f>
        <v/>
      </c>
      <c r="E219" s="57" t="str">
        <f>IF(K219="","",VLOOKUP(F219,Tabelle1!$A$2:$M$496,13,0))</f>
        <v/>
      </c>
      <c r="F219" s="56"/>
      <c r="G219" s="57"/>
      <c r="H219" s="57"/>
      <c r="I219" s="57"/>
      <c r="J219" s="57"/>
      <c r="K219" s="57"/>
      <c r="L219" s="57" t="str">
        <f>IF(K219="","",VLOOKUP(F219,Tabelle1!$A$2:$I$496,9,0))</f>
        <v/>
      </c>
      <c r="M219" s="57" t="str">
        <f>IF(K219="","",VLOOKUP(F219,Tabelle1!$A$2:$G$496,7,0))</f>
        <v/>
      </c>
      <c r="N219" s="66" t="str">
        <f t="shared" si="6"/>
        <v/>
      </c>
      <c r="O219" s="66" t="str">
        <f>IF(K219="","",((K219*VLOOKUP(F219,Tabelle1!$A$2:$I$496,8,0))/$W$4))</f>
        <v/>
      </c>
      <c r="P219" s="76" t="str">
        <f>IF(K219="","",VLOOKUP(F219,Tabelle1!$A$2:$L$496,12,0))</f>
        <v/>
      </c>
    </row>
    <row r="220" spans="1:16">
      <c r="A220" s="67"/>
      <c r="B220" s="55" t="s">
        <v>361</v>
      </c>
      <c r="C220" s="55">
        <v>222</v>
      </c>
      <c r="D220" s="56" t="str">
        <f>IF(K220="","",VLOOKUP(F220,Tabelle1!$A$2:$C$496,3,0))</f>
        <v/>
      </c>
      <c r="E220" s="57" t="str">
        <f>IF(K220="","",VLOOKUP(F220,Tabelle1!$A$2:$M$496,13,0))</f>
        <v/>
      </c>
      <c r="F220" s="56"/>
      <c r="G220" s="57"/>
      <c r="H220" s="57"/>
      <c r="I220" s="57"/>
      <c r="J220" s="57"/>
      <c r="K220" s="57"/>
      <c r="L220" s="57" t="str">
        <f>IF(K220="","",VLOOKUP(F220,Tabelle1!$A$2:$I$496,9,0))</f>
        <v/>
      </c>
      <c r="M220" s="57" t="str">
        <f>IF(K220="","",VLOOKUP(F220,Tabelle1!$A$2:$G$496,7,0))</f>
        <v/>
      </c>
      <c r="N220" s="66" t="str">
        <f t="shared" si="6"/>
        <v/>
      </c>
      <c r="O220" s="66" t="str">
        <f>IF(K220="","",((K220*VLOOKUP(F220,Tabelle1!$A$2:$I$496,8,0))/$W$4))</f>
        <v/>
      </c>
      <c r="P220" s="76" t="str">
        <f>IF(K220="","",VLOOKUP(F220,Tabelle1!$A$2:$L$496,12,0))</f>
        <v/>
      </c>
    </row>
    <row r="221" spans="1:16">
      <c r="A221" s="67"/>
      <c r="B221" s="55" t="s">
        <v>361</v>
      </c>
      <c r="C221" s="55">
        <v>223</v>
      </c>
      <c r="D221" s="56" t="str">
        <f>IF(K221="","",VLOOKUP(F221,Tabelle1!$A$2:$C$496,3,0))</f>
        <v/>
      </c>
      <c r="E221" s="57" t="str">
        <f>IF(K221="","",VLOOKUP(F221,Tabelle1!$A$2:$M$496,13,0))</f>
        <v/>
      </c>
      <c r="F221" s="56"/>
      <c r="G221" s="57"/>
      <c r="H221" s="57"/>
      <c r="I221" s="57"/>
      <c r="J221" s="57"/>
      <c r="K221" s="57"/>
      <c r="L221" s="57" t="str">
        <f>IF(K221="","",VLOOKUP(F221,Tabelle1!$A$2:$I$496,9,0))</f>
        <v/>
      </c>
      <c r="M221" s="57" t="str">
        <f>IF(K221="","",VLOOKUP(F221,Tabelle1!$A$2:$G$496,7,0))</f>
        <v/>
      </c>
      <c r="N221" s="66" t="str">
        <f t="shared" si="6"/>
        <v/>
      </c>
      <c r="O221" s="66" t="str">
        <f>IF(K221="","",((K221*VLOOKUP(F221,Tabelle1!$A$2:$I$496,8,0))/$W$4))</f>
        <v/>
      </c>
      <c r="P221" s="76" t="str">
        <f>IF(K221="","",VLOOKUP(F221,Tabelle1!$A$2:$L$496,12,0))</f>
        <v/>
      </c>
    </row>
    <row r="222" spans="1:16">
      <c r="A222" s="67"/>
      <c r="B222" s="55" t="s">
        <v>361</v>
      </c>
      <c r="C222" s="55">
        <v>224</v>
      </c>
      <c r="D222" s="56" t="str">
        <f>IF(K222="","",VLOOKUP(F222,Tabelle1!$A$2:$C$496,3,0))</f>
        <v/>
      </c>
      <c r="E222" s="57" t="str">
        <f>IF(K222="","",VLOOKUP(F222,Tabelle1!$A$2:$M$496,13,0))</f>
        <v/>
      </c>
      <c r="F222" s="56"/>
      <c r="G222" s="57"/>
      <c r="H222" s="57"/>
      <c r="I222" s="57"/>
      <c r="J222" s="57"/>
      <c r="K222" s="57"/>
      <c r="L222" s="57" t="str">
        <f>IF(K222="","",VLOOKUP(F222,Tabelle1!$A$2:$I$496,9,0))</f>
        <v/>
      </c>
      <c r="M222" s="57" t="str">
        <f>IF(K222="","",VLOOKUP(F222,Tabelle1!$A$2:$G$496,7,0))</f>
        <v/>
      </c>
      <c r="N222" s="66" t="str">
        <f t="shared" si="6"/>
        <v/>
      </c>
      <c r="O222" s="66" t="str">
        <f>IF(K222="","",((K222*VLOOKUP(F222,Tabelle1!$A$2:$I$496,8,0))/$W$4))</f>
        <v/>
      </c>
      <c r="P222" s="76" t="str">
        <f>IF(K222="","",VLOOKUP(F222,Tabelle1!$A$2:$L$496,12,0))</f>
        <v/>
      </c>
    </row>
    <row r="223" spans="1:16">
      <c r="A223" s="67"/>
      <c r="B223" s="55" t="s">
        <v>361</v>
      </c>
      <c r="C223" s="55">
        <v>225</v>
      </c>
      <c r="D223" s="56" t="str">
        <f>IF(K223="","",VLOOKUP(F223,Tabelle1!$A$2:$C$496,3,0))</f>
        <v/>
      </c>
      <c r="E223" s="57" t="str">
        <f>IF(K223="","",VLOOKUP(F223,Tabelle1!$A$2:$M$496,13,0))</f>
        <v/>
      </c>
      <c r="F223" s="56"/>
      <c r="G223" s="57"/>
      <c r="H223" s="57"/>
      <c r="I223" s="57"/>
      <c r="J223" s="57"/>
      <c r="K223" s="57"/>
      <c r="L223" s="57" t="str">
        <f>IF(K223="","",VLOOKUP(F223,Tabelle1!$A$2:$I$496,9,0))</f>
        <v/>
      </c>
      <c r="M223" s="57" t="str">
        <f>IF(K223="","",VLOOKUP(F223,Tabelle1!$A$2:$G$496,7,0))</f>
        <v/>
      </c>
      <c r="N223" s="66" t="str">
        <f t="shared" si="6"/>
        <v/>
      </c>
      <c r="O223" s="66" t="str">
        <f>IF(K223="","",((K223*VLOOKUP(F223,Tabelle1!$A$2:$I$496,8,0))/$W$4))</f>
        <v/>
      </c>
      <c r="P223" s="76" t="str">
        <f>IF(K223="","",VLOOKUP(F223,Tabelle1!$A$2:$L$496,12,0))</f>
        <v/>
      </c>
    </row>
    <row r="224" spans="1:16">
      <c r="A224" s="67"/>
      <c r="B224" s="55" t="s">
        <v>361</v>
      </c>
      <c r="C224" s="55">
        <v>226</v>
      </c>
      <c r="D224" s="56" t="str">
        <f>IF(K224="","",VLOOKUP(F224,Tabelle1!$A$2:$C$496,3,0))</f>
        <v/>
      </c>
      <c r="E224" s="57" t="str">
        <f>IF(K224="","",VLOOKUP(F224,Tabelle1!$A$2:$M$496,13,0))</f>
        <v/>
      </c>
      <c r="F224" s="56"/>
      <c r="G224" s="57"/>
      <c r="H224" s="57"/>
      <c r="I224" s="57"/>
      <c r="J224" s="57"/>
      <c r="K224" s="57"/>
      <c r="L224" s="57" t="str">
        <f>IF(K224="","",VLOOKUP(F224,Tabelle1!$A$2:$I$496,9,0))</f>
        <v/>
      </c>
      <c r="M224" s="57" t="str">
        <f>IF(K224="","",VLOOKUP(F224,Tabelle1!$A$2:$G$496,7,0))</f>
        <v/>
      </c>
      <c r="N224" s="66" t="str">
        <f t="shared" si="6"/>
        <v/>
      </c>
      <c r="O224" s="66" t="str">
        <f>IF(K224="","",((K224*VLOOKUP(F224,Tabelle1!$A$2:$I$496,8,0))/$W$4))</f>
        <v/>
      </c>
      <c r="P224" s="76" t="str">
        <f>IF(K224="","",VLOOKUP(F224,Tabelle1!$A$2:$L$496,12,0))</f>
        <v/>
      </c>
    </row>
    <row r="225" spans="1:16">
      <c r="A225" s="67"/>
      <c r="B225" s="55" t="s">
        <v>361</v>
      </c>
      <c r="C225" s="55">
        <v>227</v>
      </c>
      <c r="D225" s="56" t="str">
        <f>IF(K225="","",VLOOKUP(F225,Tabelle1!$A$2:$C$496,3,0))</f>
        <v/>
      </c>
      <c r="E225" s="57" t="str">
        <f>IF(K225="","",VLOOKUP(F225,Tabelle1!$A$2:$M$496,13,0))</f>
        <v/>
      </c>
      <c r="F225" s="56"/>
      <c r="G225" s="57"/>
      <c r="H225" s="57"/>
      <c r="I225" s="57"/>
      <c r="J225" s="57"/>
      <c r="K225" s="57"/>
      <c r="L225" s="57" t="str">
        <f>IF(K225="","",VLOOKUP(F225,Tabelle1!$A$2:$I$496,9,0))</f>
        <v/>
      </c>
      <c r="M225" s="57" t="str">
        <f>IF(K225="","",VLOOKUP(F225,Tabelle1!$A$2:$G$496,7,0))</f>
        <v/>
      </c>
      <c r="N225" s="66" t="str">
        <f t="shared" si="6"/>
        <v/>
      </c>
      <c r="O225" s="66" t="str">
        <f>IF(K225="","",((K225*VLOOKUP(F225,Tabelle1!$A$2:$I$496,8,0))/$W$4))</f>
        <v/>
      </c>
      <c r="P225" s="76" t="str">
        <f>IF(K225="","",VLOOKUP(F225,Tabelle1!$A$2:$L$496,12,0))</f>
        <v/>
      </c>
    </row>
    <row r="226" spans="1:16">
      <c r="A226" s="67"/>
      <c r="B226" s="55" t="s">
        <v>361</v>
      </c>
      <c r="C226" s="55">
        <v>228</v>
      </c>
      <c r="D226" s="56" t="str">
        <f>IF(K226="","",VLOOKUP(F226,Tabelle1!$A$2:$C$496,3,0))</f>
        <v/>
      </c>
      <c r="E226" s="57" t="str">
        <f>IF(K226="","",VLOOKUP(F226,Tabelle1!$A$2:$M$496,13,0))</f>
        <v/>
      </c>
      <c r="F226" s="56"/>
      <c r="G226" s="57"/>
      <c r="H226" s="57"/>
      <c r="I226" s="57"/>
      <c r="J226" s="57"/>
      <c r="K226" s="57"/>
      <c r="L226" s="57" t="str">
        <f>IF(K226="","",VLOOKUP(F226,Tabelle1!$A$2:$I$496,9,0))</f>
        <v/>
      </c>
      <c r="M226" s="57" t="str">
        <f>IF(K226="","",VLOOKUP(F226,Tabelle1!$A$2:$G$496,7,0))</f>
        <v/>
      </c>
      <c r="N226" s="66" t="str">
        <f t="shared" si="6"/>
        <v/>
      </c>
      <c r="O226" s="66" t="str">
        <f>IF(K226="","",((K226*VLOOKUP(F226,Tabelle1!$A$2:$I$496,8,0))/$W$4))</f>
        <v/>
      </c>
      <c r="P226" s="76" t="str">
        <f>IF(K226="","",VLOOKUP(F226,Tabelle1!$A$2:$L$496,12,0))</f>
        <v/>
      </c>
    </row>
    <row r="227" spans="1:16">
      <c r="A227" s="67"/>
      <c r="B227" s="55" t="s">
        <v>361</v>
      </c>
      <c r="C227" s="55">
        <v>229</v>
      </c>
      <c r="D227" s="56" t="str">
        <f>IF(K227="","",VLOOKUP(F227,Tabelle1!$A$2:$C$496,3,0))</f>
        <v/>
      </c>
      <c r="E227" s="57" t="str">
        <f>IF(K227="","",VLOOKUP(F227,Tabelle1!$A$2:$M$496,13,0))</f>
        <v/>
      </c>
      <c r="F227" s="56"/>
      <c r="G227" s="57"/>
      <c r="H227" s="57"/>
      <c r="I227" s="57"/>
      <c r="J227" s="57"/>
      <c r="K227" s="57"/>
      <c r="L227" s="57" t="str">
        <f>IF(K227="","",VLOOKUP(F227,Tabelle1!$A$2:$I$496,9,0))</f>
        <v/>
      </c>
      <c r="M227" s="57" t="str">
        <f>IF(K227="","",VLOOKUP(F227,Tabelle1!$A$2:$G$496,7,0))</f>
        <v/>
      </c>
      <c r="N227" s="66" t="str">
        <f t="shared" si="6"/>
        <v/>
      </c>
      <c r="O227" s="66" t="str">
        <f>IF(K227="","",((K227*VLOOKUP(F227,Tabelle1!$A$2:$I$496,8,0))/$W$4))</f>
        <v/>
      </c>
      <c r="P227" s="76" t="str">
        <f>IF(K227="","",VLOOKUP(F227,Tabelle1!$A$2:$L$496,12,0))</f>
        <v/>
      </c>
    </row>
    <row r="228" spans="1:16">
      <c r="A228" s="67"/>
      <c r="B228" s="55" t="s">
        <v>361</v>
      </c>
      <c r="C228" s="55">
        <v>230</v>
      </c>
      <c r="D228" s="56" t="str">
        <f>IF(K228="","",VLOOKUP(F228,Tabelle1!$A$2:$C$496,3,0))</f>
        <v/>
      </c>
      <c r="E228" s="57" t="str">
        <f>IF(K228="","",VLOOKUP(F228,Tabelle1!$A$2:$M$496,13,0))</f>
        <v/>
      </c>
      <c r="F228" s="56"/>
      <c r="G228" s="57"/>
      <c r="H228" s="57"/>
      <c r="I228" s="57"/>
      <c r="J228" s="57"/>
      <c r="K228" s="57"/>
      <c r="L228" s="57" t="str">
        <f>IF(K228="","",VLOOKUP(F228,Tabelle1!$A$2:$I$496,9,0))</f>
        <v/>
      </c>
      <c r="M228" s="57" t="str">
        <f>IF(K228="","",VLOOKUP(F228,Tabelle1!$A$2:$G$496,7,0))</f>
        <v/>
      </c>
      <c r="N228" s="66" t="str">
        <f t="shared" si="6"/>
        <v/>
      </c>
      <c r="O228" s="66" t="str">
        <f>IF(K228="","",((K228*VLOOKUP(F228,Tabelle1!$A$2:$I$496,8,0))/$W$4))</f>
        <v/>
      </c>
      <c r="P228" s="76" t="str">
        <f>IF(K228="","",VLOOKUP(F228,Tabelle1!$A$2:$L$496,12,0))</f>
        <v/>
      </c>
    </row>
    <row r="229" spans="1:16">
      <c r="A229" s="67"/>
      <c r="B229" s="55" t="s">
        <v>361</v>
      </c>
      <c r="C229" s="55">
        <v>231</v>
      </c>
      <c r="D229" s="56" t="str">
        <f>IF(K229="","",VLOOKUP(F229,Tabelle1!$A$2:$C$496,3,0))</f>
        <v/>
      </c>
      <c r="E229" s="57" t="str">
        <f>IF(K229="","",VLOOKUP(F229,Tabelle1!$A$2:$M$496,13,0))</f>
        <v/>
      </c>
      <c r="F229" s="56"/>
      <c r="G229" s="57"/>
      <c r="H229" s="57"/>
      <c r="I229" s="57"/>
      <c r="J229" s="57"/>
      <c r="K229" s="57"/>
      <c r="L229" s="57" t="str">
        <f>IF(K229="","",VLOOKUP(F229,Tabelle1!$A$2:$I$496,9,0))</f>
        <v/>
      </c>
      <c r="M229" s="57" t="str">
        <f>IF(K229="","",VLOOKUP(F229,Tabelle1!$A$2:$G$496,7,0))</f>
        <v/>
      </c>
      <c r="N229" s="66" t="str">
        <f t="shared" si="6"/>
        <v/>
      </c>
      <c r="O229" s="66" t="str">
        <f>IF(K229="","",((K229*VLOOKUP(F229,Tabelle1!$A$2:$I$496,8,0))/$W$4))</f>
        <v/>
      </c>
      <c r="P229" s="76" t="str">
        <f>IF(K229="","",VLOOKUP(F229,Tabelle1!$A$2:$L$496,12,0))</f>
        <v/>
      </c>
    </row>
    <row r="230" spans="1:16">
      <c r="A230" s="67"/>
      <c r="B230" s="55" t="s">
        <v>361</v>
      </c>
      <c r="C230" s="55">
        <v>232</v>
      </c>
      <c r="D230" s="56" t="str">
        <f>IF(K230="","",VLOOKUP(F230,Tabelle1!$A$2:$C$496,3,0))</f>
        <v/>
      </c>
      <c r="E230" s="57" t="str">
        <f>IF(K230="","",VLOOKUP(F230,Tabelle1!$A$2:$M$496,13,0))</f>
        <v/>
      </c>
      <c r="F230" s="56"/>
      <c r="G230" s="57"/>
      <c r="H230" s="57"/>
      <c r="I230" s="57"/>
      <c r="J230" s="57"/>
      <c r="K230" s="57"/>
      <c r="L230" s="57" t="str">
        <f>IF(K230="","",VLOOKUP(F230,Tabelle1!$A$2:$I$496,9,0))</f>
        <v/>
      </c>
      <c r="M230" s="57" t="str">
        <f>IF(K230="","",VLOOKUP(F230,Tabelle1!$A$2:$G$496,7,0))</f>
        <v/>
      </c>
      <c r="N230" s="66" t="str">
        <f t="shared" si="6"/>
        <v/>
      </c>
      <c r="O230" s="66" t="str">
        <f>IF(K230="","",((K230*VLOOKUP(F230,Tabelle1!$A$2:$I$496,8,0))/$W$4))</f>
        <v/>
      </c>
      <c r="P230" s="76" t="str">
        <f>IF(K230="","",VLOOKUP(F230,Tabelle1!$A$2:$L$496,12,0))</f>
        <v/>
      </c>
    </row>
    <row r="231" spans="1:16">
      <c r="A231" s="67"/>
      <c r="B231" s="55" t="s">
        <v>361</v>
      </c>
      <c r="C231" s="55">
        <v>233</v>
      </c>
      <c r="D231" s="56" t="str">
        <f>IF(K231="","",VLOOKUP(F231,Tabelle1!$A$2:$C$496,3,0))</f>
        <v/>
      </c>
      <c r="E231" s="57" t="str">
        <f>IF(K231="","",VLOOKUP(F231,Tabelle1!$A$2:$M$496,13,0))</f>
        <v/>
      </c>
      <c r="F231" s="56"/>
      <c r="G231" s="57"/>
      <c r="H231" s="57"/>
      <c r="I231" s="57"/>
      <c r="J231" s="57"/>
      <c r="K231" s="57"/>
      <c r="L231" s="57" t="str">
        <f>IF(K231="","",VLOOKUP(F231,Tabelle1!$A$2:$I$496,9,0))</f>
        <v/>
      </c>
      <c r="M231" s="57" t="str">
        <f>IF(K231="","",VLOOKUP(F231,Tabelle1!$A$2:$G$496,7,0))</f>
        <v/>
      </c>
      <c r="N231" s="66" t="str">
        <f t="shared" si="6"/>
        <v/>
      </c>
      <c r="O231" s="66" t="str">
        <f>IF(K231="","",((K231*VLOOKUP(F231,Tabelle1!$A$2:$I$496,8,0))/$W$4))</f>
        <v/>
      </c>
      <c r="P231" s="76" t="str">
        <f>IF(K231="","",VLOOKUP(F231,Tabelle1!$A$2:$L$496,12,0))</f>
        <v/>
      </c>
    </row>
    <row r="232" spans="1:16">
      <c r="A232" s="67"/>
      <c r="B232" s="55" t="s">
        <v>361</v>
      </c>
      <c r="C232" s="55">
        <v>234</v>
      </c>
      <c r="D232" s="56" t="str">
        <f>IF(K232="","",VLOOKUP(F232,Tabelle1!$A$2:$C$496,3,0))</f>
        <v/>
      </c>
      <c r="E232" s="57" t="str">
        <f>IF(K232="","",VLOOKUP(F232,Tabelle1!$A$2:$M$496,13,0))</f>
        <v/>
      </c>
      <c r="F232" s="56"/>
      <c r="G232" s="57"/>
      <c r="H232" s="57"/>
      <c r="I232" s="57"/>
      <c r="J232" s="57"/>
      <c r="K232" s="57"/>
      <c r="L232" s="57" t="str">
        <f>IF(K232="","",VLOOKUP(F232,Tabelle1!$A$2:$I$496,9,0))</f>
        <v/>
      </c>
      <c r="M232" s="57" t="str">
        <f>IF(K232="","",VLOOKUP(F232,Tabelle1!$A$2:$G$496,7,0))</f>
        <v/>
      </c>
      <c r="N232" s="66" t="str">
        <f t="shared" si="6"/>
        <v/>
      </c>
      <c r="O232" s="66" t="str">
        <f>IF(K232="","",((K232*VLOOKUP(F232,Tabelle1!$A$2:$I$496,8,0))/$W$4))</f>
        <v/>
      </c>
      <c r="P232" s="76" t="str">
        <f>IF(K232="","",VLOOKUP(F232,Tabelle1!$A$2:$L$496,12,0))</f>
        <v/>
      </c>
    </row>
    <row r="233" spans="1:16">
      <c r="A233" s="67"/>
      <c r="B233" s="55" t="s">
        <v>361</v>
      </c>
      <c r="C233" s="55">
        <v>235</v>
      </c>
      <c r="D233" s="56" t="str">
        <f>IF(K233="","",VLOOKUP(F233,Tabelle1!$A$2:$C$496,3,0))</f>
        <v/>
      </c>
      <c r="E233" s="57" t="str">
        <f>IF(K233="","",VLOOKUP(F233,Tabelle1!$A$2:$M$496,13,0))</f>
        <v/>
      </c>
      <c r="F233" s="56"/>
      <c r="G233" s="57"/>
      <c r="H233" s="57"/>
      <c r="I233" s="57"/>
      <c r="J233" s="57"/>
      <c r="K233" s="57"/>
      <c r="L233" s="57" t="str">
        <f>IF(K233="","",VLOOKUP(F233,Tabelle1!$A$2:$I$496,9,0))</f>
        <v/>
      </c>
      <c r="M233" s="57" t="str">
        <f>IF(K233="","",VLOOKUP(F233,Tabelle1!$A$2:$G$496,7,0))</f>
        <v/>
      </c>
      <c r="N233" s="66" t="str">
        <f t="shared" si="6"/>
        <v/>
      </c>
      <c r="O233" s="66" t="str">
        <f>IF(K233="","",((K233*VLOOKUP(F233,Tabelle1!$A$2:$I$496,8,0))/$W$4))</f>
        <v/>
      </c>
      <c r="P233" s="76" t="str">
        <f>IF(K233="","",VLOOKUP(F233,Tabelle1!$A$2:$L$496,12,0))</f>
        <v/>
      </c>
    </row>
    <row r="234" spans="1:16">
      <c r="A234" s="67"/>
      <c r="B234" s="55" t="s">
        <v>361</v>
      </c>
      <c r="C234" s="55">
        <v>236</v>
      </c>
      <c r="D234" s="56" t="str">
        <f>IF(K234="","",VLOOKUP(F234,Tabelle1!$A$2:$C$496,3,0))</f>
        <v/>
      </c>
      <c r="E234" s="57" t="str">
        <f>IF(K234="","",VLOOKUP(F234,Tabelle1!$A$2:$M$496,13,0))</f>
        <v/>
      </c>
      <c r="F234" s="56"/>
      <c r="G234" s="57"/>
      <c r="H234" s="57"/>
      <c r="I234" s="57"/>
      <c r="J234" s="57"/>
      <c r="K234" s="57"/>
      <c r="L234" s="57" t="str">
        <f>IF(K234="","",VLOOKUP(F234,Tabelle1!$A$2:$I$496,9,0))</f>
        <v/>
      </c>
      <c r="M234" s="57" t="str">
        <f>IF(K234="","",VLOOKUP(F234,Tabelle1!$A$2:$G$496,7,0))</f>
        <v/>
      </c>
      <c r="N234" s="66" t="str">
        <f t="shared" si="6"/>
        <v/>
      </c>
      <c r="O234" s="66" t="str">
        <f>IF(K234="","",((K234*VLOOKUP(F234,Tabelle1!$A$2:$I$496,8,0))/$W$4))</f>
        <v/>
      </c>
      <c r="P234" s="76" t="str">
        <f>IF(K234="","",VLOOKUP(F234,Tabelle1!$A$2:$L$496,12,0))</f>
        <v/>
      </c>
    </row>
    <row r="235" spans="1:16">
      <c r="A235" s="67"/>
      <c r="B235" s="55" t="s">
        <v>361</v>
      </c>
      <c r="C235" s="55">
        <v>237</v>
      </c>
      <c r="D235" s="56" t="str">
        <f>IF(K235="","",VLOOKUP(F235,Tabelle1!$A$2:$C$496,3,0))</f>
        <v/>
      </c>
      <c r="E235" s="57" t="str">
        <f>IF(K235="","",VLOOKUP(F235,Tabelle1!$A$2:$M$496,13,0))</f>
        <v/>
      </c>
      <c r="F235" s="56"/>
      <c r="G235" s="57"/>
      <c r="H235" s="57"/>
      <c r="I235" s="57"/>
      <c r="J235" s="57"/>
      <c r="K235" s="57"/>
      <c r="L235" s="57" t="str">
        <f>IF(K235="","",VLOOKUP(F235,Tabelle1!$A$2:$I$496,9,0))</f>
        <v/>
      </c>
      <c r="M235" s="57" t="str">
        <f>IF(K235="","",VLOOKUP(F235,Tabelle1!$A$2:$G$496,7,0))</f>
        <v/>
      </c>
      <c r="N235" s="66" t="str">
        <f t="shared" si="6"/>
        <v/>
      </c>
      <c r="O235" s="66" t="str">
        <f>IF(K235="","",((K235*VLOOKUP(F235,Tabelle1!$A$2:$I$496,8,0))/$W$4))</f>
        <v/>
      </c>
      <c r="P235" s="76" t="str">
        <f>IF(K235="","",VLOOKUP(F235,Tabelle1!$A$2:$L$496,12,0))</f>
        <v/>
      </c>
    </row>
    <row r="236" spans="1:16">
      <c r="A236" s="67"/>
      <c r="B236" s="55" t="s">
        <v>361</v>
      </c>
      <c r="C236" s="55">
        <v>238</v>
      </c>
      <c r="D236" s="56" t="str">
        <f>IF(K236="","",VLOOKUP(F236,Tabelle1!$A$2:$C$496,3,0))</f>
        <v/>
      </c>
      <c r="E236" s="57" t="str">
        <f>IF(K236="","",VLOOKUP(F236,Tabelle1!$A$2:$M$496,13,0))</f>
        <v/>
      </c>
      <c r="F236" s="56"/>
      <c r="G236" s="57"/>
      <c r="H236" s="57"/>
      <c r="I236" s="57"/>
      <c r="J236" s="57"/>
      <c r="K236" s="57"/>
      <c r="L236" s="57" t="str">
        <f>IF(K236="","",VLOOKUP(F236,Tabelle1!$A$2:$I$496,9,0))</f>
        <v/>
      </c>
      <c r="M236" s="57" t="str">
        <f>IF(K236="","",VLOOKUP(F236,Tabelle1!$A$2:$G$496,7,0))</f>
        <v/>
      </c>
      <c r="N236" s="66" t="str">
        <f t="shared" si="6"/>
        <v/>
      </c>
      <c r="O236" s="66" t="str">
        <f>IF(K236="","",((K236*VLOOKUP(F236,Tabelle1!$A$2:$I$496,8,0))/$W$4))</f>
        <v/>
      </c>
      <c r="P236" s="76" t="str">
        <f>IF(K236="","",VLOOKUP(F236,Tabelle1!$A$2:$L$496,12,0))</f>
        <v/>
      </c>
    </row>
    <row r="237" spans="1:16">
      <c r="A237" s="67"/>
      <c r="B237" s="55" t="s">
        <v>361</v>
      </c>
      <c r="C237" s="55">
        <v>239</v>
      </c>
      <c r="D237" s="56" t="str">
        <f>IF(K237="","",VLOOKUP(F237,Tabelle1!$A$2:$C$496,3,0))</f>
        <v/>
      </c>
      <c r="E237" s="57" t="str">
        <f>IF(K237="","",VLOOKUP(F237,Tabelle1!$A$2:$M$496,13,0))</f>
        <v/>
      </c>
      <c r="F237" s="56"/>
      <c r="G237" s="57"/>
      <c r="H237" s="57"/>
      <c r="I237" s="57"/>
      <c r="J237" s="57"/>
      <c r="K237" s="57"/>
      <c r="L237" s="57" t="str">
        <f>IF(K237="","",VLOOKUP(F237,Tabelle1!$A$2:$I$496,9,0))</f>
        <v/>
      </c>
      <c r="M237" s="57" t="str">
        <f>IF(K237="","",VLOOKUP(F237,Tabelle1!$A$2:$G$496,7,0))</f>
        <v/>
      </c>
      <c r="N237" s="66" t="str">
        <f t="shared" si="6"/>
        <v/>
      </c>
      <c r="O237" s="66" t="str">
        <f>IF(K237="","",((K237*VLOOKUP(F237,Tabelle1!$A$2:$I$496,8,0))/$W$4))</f>
        <v/>
      </c>
      <c r="P237" s="76" t="str">
        <f>IF(K237="","",VLOOKUP(F237,Tabelle1!$A$2:$L$496,12,0))</f>
        <v/>
      </c>
    </row>
    <row r="238" spans="1:16">
      <c r="A238" s="67"/>
      <c r="B238" s="55" t="s">
        <v>361</v>
      </c>
      <c r="C238" s="55">
        <v>240</v>
      </c>
      <c r="D238" s="56" t="str">
        <f>IF(K238="","",VLOOKUP(F238,Tabelle1!$A$2:$C$496,3,0))</f>
        <v/>
      </c>
      <c r="E238" s="57" t="str">
        <f>IF(K238="","",VLOOKUP(F238,Tabelle1!$A$2:$M$496,13,0))</f>
        <v/>
      </c>
      <c r="F238" s="56"/>
      <c r="G238" s="57"/>
      <c r="H238" s="57"/>
      <c r="I238" s="57"/>
      <c r="J238" s="57"/>
      <c r="K238" s="57"/>
      <c r="L238" s="57" t="str">
        <f>IF(K238="","",VLOOKUP(F238,Tabelle1!$A$2:$I$496,9,0))</f>
        <v/>
      </c>
      <c r="M238" s="57" t="str">
        <f>IF(K238="","",VLOOKUP(F238,Tabelle1!$A$2:$G$496,7,0))</f>
        <v/>
      </c>
      <c r="N238" s="66" t="str">
        <f t="shared" si="6"/>
        <v/>
      </c>
      <c r="O238" s="66" t="str">
        <f>IF(K238="","",((K238*VLOOKUP(F238,Tabelle1!$A$2:$I$496,8,0))/$W$4))</f>
        <v/>
      </c>
      <c r="P238" s="76" t="str">
        <f>IF(K238="","",VLOOKUP(F238,Tabelle1!$A$2:$L$496,12,0))</f>
        <v/>
      </c>
    </row>
    <row r="239" spans="1:16">
      <c r="A239" s="67"/>
      <c r="B239" s="55" t="s">
        <v>361</v>
      </c>
      <c r="C239" s="55">
        <v>241</v>
      </c>
      <c r="D239" s="56" t="str">
        <f>IF(K239="","",VLOOKUP(F239,Tabelle1!$A$2:$C$496,3,0))</f>
        <v/>
      </c>
      <c r="E239" s="57" t="str">
        <f>IF(K239="","",VLOOKUP(F239,Tabelle1!$A$2:$M$496,13,0))</f>
        <v/>
      </c>
      <c r="F239" s="56"/>
      <c r="G239" s="57"/>
      <c r="H239" s="57"/>
      <c r="I239" s="57"/>
      <c r="J239" s="57"/>
      <c r="K239" s="57"/>
      <c r="L239" s="57" t="str">
        <f>IF(K239="","",VLOOKUP(F239,Tabelle1!$A$2:$I$496,9,0))</f>
        <v/>
      </c>
      <c r="M239" s="57" t="str">
        <f>IF(K239="","",VLOOKUP(F239,Tabelle1!$A$2:$G$496,7,0))</f>
        <v/>
      </c>
      <c r="N239" s="66" t="str">
        <f t="shared" si="6"/>
        <v/>
      </c>
      <c r="O239" s="66" t="str">
        <f>IF(K239="","",((K239*VLOOKUP(F239,Tabelle1!$A$2:$I$496,8,0))/$W$4))</f>
        <v/>
      </c>
      <c r="P239" s="76" t="str">
        <f>IF(K239="","",VLOOKUP(F239,Tabelle1!$A$2:$L$496,12,0))</f>
        <v/>
      </c>
    </row>
    <row r="240" spans="1:16">
      <c r="A240" s="67"/>
      <c r="B240" s="55" t="s">
        <v>361</v>
      </c>
      <c r="C240" s="55">
        <v>242</v>
      </c>
      <c r="D240" s="56" t="str">
        <f>IF(K240="","",VLOOKUP(F240,Tabelle1!$A$2:$C$496,3,0))</f>
        <v/>
      </c>
      <c r="E240" s="57" t="str">
        <f>IF(K240="","",VLOOKUP(F240,Tabelle1!$A$2:$M$496,13,0))</f>
        <v/>
      </c>
      <c r="F240" s="56"/>
      <c r="G240" s="57"/>
      <c r="H240" s="57"/>
      <c r="I240" s="57"/>
      <c r="J240" s="57"/>
      <c r="K240" s="57"/>
      <c r="L240" s="57" t="str">
        <f>IF(K240="","",VLOOKUP(F240,Tabelle1!$A$2:$I$496,9,0))</f>
        <v/>
      </c>
      <c r="M240" s="57" t="str">
        <f>IF(K240="","",VLOOKUP(F240,Tabelle1!$A$2:$G$496,7,0))</f>
        <v/>
      </c>
      <c r="N240" s="66" t="str">
        <f t="shared" si="6"/>
        <v/>
      </c>
      <c r="O240" s="66" t="str">
        <f>IF(K240="","",((K240*VLOOKUP(F240,Tabelle1!$A$2:$I$496,8,0))/$W$4))</f>
        <v/>
      </c>
      <c r="P240" s="76" t="str">
        <f>IF(K240="","",VLOOKUP(F240,Tabelle1!$A$2:$L$496,12,0))</f>
        <v/>
      </c>
    </row>
    <row r="241" spans="1:16">
      <c r="A241" s="67"/>
      <c r="B241" s="55" t="s">
        <v>361</v>
      </c>
      <c r="C241" s="55">
        <v>243</v>
      </c>
      <c r="D241" s="56" t="str">
        <f>IF(K241="","",VLOOKUP(F241,Tabelle1!$A$2:$C$496,3,0))</f>
        <v/>
      </c>
      <c r="E241" s="57" t="str">
        <f>IF(K241="","",VLOOKUP(F241,Tabelle1!$A$2:$M$496,13,0))</f>
        <v/>
      </c>
      <c r="F241" s="56"/>
      <c r="G241" s="57"/>
      <c r="H241" s="57"/>
      <c r="I241" s="57"/>
      <c r="J241" s="57"/>
      <c r="K241" s="57"/>
      <c r="L241" s="57" t="str">
        <f>IF(K241="","",VLOOKUP(F241,Tabelle1!$A$2:$I$496,9,0))</f>
        <v/>
      </c>
      <c r="M241" s="57" t="str">
        <f>IF(K241="","",VLOOKUP(F241,Tabelle1!$A$2:$G$496,7,0))</f>
        <v/>
      </c>
      <c r="N241" s="66" t="str">
        <f t="shared" si="6"/>
        <v/>
      </c>
      <c r="O241" s="66" t="str">
        <f>IF(K241="","",((K241*VLOOKUP(F241,Tabelle1!$A$2:$I$496,8,0))/$W$4))</f>
        <v/>
      </c>
      <c r="P241" s="76" t="str">
        <f>IF(K241="","",VLOOKUP(F241,Tabelle1!$A$2:$L$496,12,0))</f>
        <v/>
      </c>
    </row>
    <row r="242" spans="1:16">
      <c r="A242" s="67"/>
      <c r="B242" s="55" t="s">
        <v>361</v>
      </c>
      <c r="C242" s="55">
        <v>244</v>
      </c>
      <c r="D242" s="56" t="str">
        <f>IF(K242="","",VLOOKUP(F242,Tabelle1!$A$2:$C$496,3,0))</f>
        <v/>
      </c>
      <c r="E242" s="57" t="str">
        <f>IF(K242="","",VLOOKUP(F242,Tabelle1!$A$2:$M$496,13,0))</f>
        <v/>
      </c>
      <c r="F242" s="56"/>
      <c r="G242" s="57"/>
      <c r="H242" s="57"/>
      <c r="I242" s="57"/>
      <c r="J242" s="57"/>
      <c r="K242" s="57"/>
      <c r="L242" s="57" t="str">
        <f>IF(K242="","",VLOOKUP(F242,Tabelle1!$A$2:$I$496,9,0))</f>
        <v/>
      </c>
      <c r="M242" s="57" t="str">
        <f>IF(K242="","",VLOOKUP(F242,Tabelle1!$A$2:$G$496,7,0))</f>
        <v/>
      </c>
      <c r="N242" s="66" t="str">
        <f t="shared" si="6"/>
        <v/>
      </c>
      <c r="O242" s="66" t="str">
        <f>IF(K242="","",((K242*VLOOKUP(F242,Tabelle1!$A$2:$I$496,8,0))/$W$4))</f>
        <v/>
      </c>
      <c r="P242" s="76" t="str">
        <f>IF(K242="","",VLOOKUP(F242,Tabelle1!$A$2:$L$496,12,0))</f>
        <v/>
      </c>
    </row>
    <row r="243" spans="1:16">
      <c r="A243" s="67"/>
      <c r="B243" s="55" t="s">
        <v>361</v>
      </c>
      <c r="C243" s="55">
        <v>245</v>
      </c>
      <c r="D243" s="56" t="str">
        <f>IF(K243="","",VLOOKUP(F243,Tabelle1!$A$2:$C$496,3,0))</f>
        <v/>
      </c>
      <c r="E243" s="57" t="str">
        <f>IF(K243="","",VLOOKUP(F243,Tabelle1!$A$2:$M$496,13,0))</f>
        <v/>
      </c>
      <c r="F243" s="56"/>
      <c r="G243" s="57"/>
      <c r="H243" s="57"/>
      <c r="I243" s="57"/>
      <c r="J243" s="57"/>
      <c r="K243" s="57"/>
      <c r="L243" s="57" t="str">
        <f>IF(K243="","",VLOOKUP(F243,Tabelle1!$A$2:$I$496,9,0))</f>
        <v/>
      </c>
      <c r="M243" s="57" t="str">
        <f>IF(K243="","",VLOOKUP(F243,Tabelle1!$A$2:$G$496,7,0))</f>
        <v/>
      </c>
      <c r="N243" s="66" t="str">
        <f t="shared" si="6"/>
        <v/>
      </c>
      <c r="O243" s="66" t="str">
        <f>IF(K243="","",((K243*VLOOKUP(F243,Tabelle1!$A$2:$I$496,8,0))/$W$4))</f>
        <v/>
      </c>
      <c r="P243" s="76" t="str">
        <f>IF(K243="","",VLOOKUP(F243,Tabelle1!$A$2:$L$496,12,0))</f>
        <v/>
      </c>
    </row>
    <row r="244" spans="1:16">
      <c r="A244" s="67"/>
      <c r="B244" s="55" t="s">
        <v>361</v>
      </c>
      <c r="C244" s="55">
        <v>246</v>
      </c>
      <c r="D244" s="56" t="str">
        <f>IF(K244="","",VLOOKUP(F244,Tabelle1!$A$2:$C$496,3,0))</f>
        <v/>
      </c>
      <c r="E244" s="57" t="str">
        <f>IF(K244="","",VLOOKUP(F244,Tabelle1!$A$2:$M$496,13,0))</f>
        <v/>
      </c>
      <c r="F244" s="56"/>
      <c r="G244" s="57"/>
      <c r="H244" s="57"/>
      <c r="I244" s="57"/>
      <c r="J244" s="57"/>
      <c r="K244" s="57"/>
      <c r="L244" s="57" t="str">
        <f>IF(K244="","",VLOOKUP(F244,Tabelle1!$A$2:$I$496,9,0))</f>
        <v/>
      </c>
      <c r="M244" s="57" t="str">
        <f>IF(K244="","",VLOOKUP(F244,Tabelle1!$A$2:$G$496,7,0))</f>
        <v/>
      </c>
      <c r="N244" s="66" t="str">
        <f t="shared" si="6"/>
        <v/>
      </c>
      <c r="O244" s="66" t="str">
        <f>IF(K244="","",((K244*VLOOKUP(F244,Tabelle1!$A$2:$I$496,8,0))/$W$4))</f>
        <v/>
      </c>
      <c r="P244" s="76" t="str">
        <f>IF(K244="","",VLOOKUP(F244,Tabelle1!$A$2:$L$496,12,0))</f>
        <v/>
      </c>
    </row>
    <row r="245" spans="1:16">
      <c r="A245" s="67"/>
      <c r="B245" s="55" t="s">
        <v>361</v>
      </c>
      <c r="C245" s="55">
        <v>247</v>
      </c>
      <c r="D245" s="56" t="str">
        <f>IF(K245="","",VLOOKUP(F245,Tabelle1!$A$2:$C$496,3,0))</f>
        <v/>
      </c>
      <c r="E245" s="57" t="str">
        <f>IF(K245="","",VLOOKUP(F245,Tabelle1!$A$2:$M$496,13,0))</f>
        <v/>
      </c>
      <c r="F245" s="56"/>
      <c r="G245" s="57"/>
      <c r="H245" s="57"/>
      <c r="I245" s="57"/>
      <c r="J245" s="57"/>
      <c r="K245" s="57"/>
      <c r="L245" s="57" t="str">
        <f>IF(K245="","",VLOOKUP(F245,Tabelle1!$A$2:$I$496,9,0))</f>
        <v/>
      </c>
      <c r="M245" s="57" t="str">
        <f>IF(K245="","",VLOOKUP(F245,Tabelle1!$A$2:$G$496,7,0))</f>
        <v/>
      </c>
      <c r="N245" s="66" t="str">
        <f t="shared" si="6"/>
        <v/>
      </c>
      <c r="O245" s="66" t="str">
        <f>IF(K245="","",((K245*VLOOKUP(F245,Tabelle1!$A$2:$I$496,8,0))/$W$4))</f>
        <v/>
      </c>
      <c r="P245" s="76" t="str">
        <f>IF(K245="","",VLOOKUP(F245,Tabelle1!$A$2:$L$496,12,0))</f>
        <v/>
      </c>
    </row>
    <row r="246" spans="1:16">
      <c r="A246" s="67"/>
      <c r="B246" s="55" t="s">
        <v>361</v>
      </c>
      <c r="C246" s="55">
        <v>248</v>
      </c>
      <c r="D246" s="56" t="str">
        <f>IF(K246="","",VLOOKUP(F246,Tabelle1!$A$2:$C$496,3,0))</f>
        <v/>
      </c>
      <c r="E246" s="57" t="str">
        <f>IF(K246="","",VLOOKUP(F246,Tabelle1!$A$2:$M$496,13,0))</f>
        <v/>
      </c>
      <c r="F246" s="56"/>
      <c r="G246" s="57"/>
      <c r="H246" s="57"/>
      <c r="I246" s="57"/>
      <c r="J246" s="57"/>
      <c r="K246" s="57"/>
      <c r="L246" s="57" t="str">
        <f>IF(K246="","",VLOOKUP(F246,Tabelle1!$A$2:$I$496,9,0))</f>
        <v/>
      </c>
      <c r="M246" s="57" t="str">
        <f>IF(K246="","",VLOOKUP(F246,Tabelle1!$A$2:$G$496,7,0))</f>
        <v/>
      </c>
      <c r="N246" s="66" t="str">
        <f t="shared" si="6"/>
        <v/>
      </c>
      <c r="O246" s="66" t="str">
        <f>IF(K246="","",((K246*VLOOKUP(F246,Tabelle1!$A$2:$I$496,8,0))/$W$4))</f>
        <v/>
      </c>
      <c r="P246" s="76" t="str">
        <f>IF(K246="","",VLOOKUP(F246,Tabelle1!$A$2:$L$496,12,0))</f>
        <v/>
      </c>
    </row>
    <row r="247" spans="1:16">
      <c r="A247" s="67"/>
      <c r="B247" s="55" t="s">
        <v>361</v>
      </c>
      <c r="C247" s="55">
        <v>249</v>
      </c>
      <c r="D247" s="56" t="str">
        <f>IF(K247="","",VLOOKUP(F247,Tabelle1!$A$2:$C$496,3,0))</f>
        <v/>
      </c>
      <c r="E247" s="57" t="str">
        <f>IF(K247="","",VLOOKUP(F247,Tabelle1!$A$2:$M$496,13,0))</f>
        <v/>
      </c>
      <c r="F247" s="56"/>
      <c r="G247" s="57"/>
      <c r="H247" s="57"/>
      <c r="I247" s="57"/>
      <c r="J247" s="57"/>
      <c r="K247" s="57"/>
      <c r="L247" s="57" t="str">
        <f>IF(K247="","",VLOOKUP(F247,Tabelle1!$A$2:$I$496,9,0))</f>
        <v/>
      </c>
      <c r="M247" s="57" t="str">
        <f>IF(K247="","",VLOOKUP(F247,Tabelle1!$A$2:$G$496,7,0))</f>
        <v/>
      </c>
      <c r="N247" s="66" t="str">
        <f t="shared" si="6"/>
        <v/>
      </c>
      <c r="O247" s="66" t="str">
        <f>IF(K247="","",((K247*VLOOKUP(F247,Tabelle1!$A$2:$I$496,8,0))/$W$4))</f>
        <v/>
      </c>
      <c r="P247" s="76" t="str">
        <f>IF(K247="","",VLOOKUP(F247,Tabelle1!$A$2:$L$496,12,0))</f>
        <v/>
      </c>
    </row>
    <row r="248" spans="1:16">
      <c r="A248" s="67"/>
      <c r="B248" s="55" t="s">
        <v>361</v>
      </c>
      <c r="C248" s="55">
        <v>250</v>
      </c>
      <c r="D248" s="56" t="str">
        <f>IF(K248="","",VLOOKUP(F248,Tabelle1!$A$2:$C$496,3,0))</f>
        <v/>
      </c>
      <c r="E248" s="57" t="str">
        <f>IF(K248="","",VLOOKUP(F248,Tabelle1!$A$2:$M$496,13,0))</f>
        <v/>
      </c>
      <c r="F248" s="56"/>
      <c r="G248" s="57"/>
      <c r="H248" s="57"/>
      <c r="I248" s="57"/>
      <c r="J248" s="57"/>
      <c r="K248" s="57"/>
      <c r="L248" s="57" t="str">
        <f>IF(K248="","",VLOOKUP(F248,Tabelle1!$A$2:$I$496,9,0))</f>
        <v/>
      </c>
      <c r="M248" s="57" t="str">
        <f>IF(K248="","",VLOOKUP(F248,Tabelle1!$A$2:$G$496,7,0))</f>
        <v/>
      </c>
      <c r="N248" s="66" t="str">
        <f t="shared" si="6"/>
        <v/>
      </c>
      <c r="O248" s="66" t="str">
        <f>IF(K248="","",((K248*VLOOKUP(F248,Tabelle1!$A$2:$I$496,8,0))/$W$4))</f>
        <v/>
      </c>
      <c r="P248" s="76" t="str">
        <f>IF(K248="","",VLOOKUP(F248,Tabelle1!$A$2:$L$496,12,0))</f>
        <v/>
      </c>
    </row>
    <row r="249" spans="1:16">
      <c r="A249" s="67"/>
      <c r="B249" s="55" t="s">
        <v>361</v>
      </c>
      <c r="C249" s="55">
        <v>251</v>
      </c>
      <c r="D249" s="56" t="str">
        <f>IF(K249="","",VLOOKUP(F249,Tabelle1!$A$2:$C$496,3,0))</f>
        <v/>
      </c>
      <c r="E249" s="57" t="str">
        <f>IF(K249="","",VLOOKUP(F249,Tabelle1!$A$2:$M$496,13,0))</f>
        <v/>
      </c>
      <c r="F249" s="56"/>
      <c r="G249" s="57"/>
      <c r="H249" s="57"/>
      <c r="I249" s="57"/>
      <c r="J249" s="57"/>
      <c r="K249" s="57"/>
      <c r="L249" s="57" t="str">
        <f>IF(K249="","",VLOOKUP(F249,Tabelle1!$A$2:$I$496,9,0))</f>
        <v/>
      </c>
      <c r="M249" s="57" t="str">
        <f>IF(K249="","",VLOOKUP(F249,Tabelle1!$A$2:$G$496,7,0))</f>
        <v/>
      </c>
      <c r="N249" s="66" t="str">
        <f t="shared" si="6"/>
        <v/>
      </c>
      <c r="O249" s="66" t="str">
        <f>IF(K249="","",((K249*VLOOKUP(F249,Tabelle1!$A$2:$I$496,8,0))/$W$4))</f>
        <v/>
      </c>
      <c r="P249" s="76" t="str">
        <f>IF(K249="","",VLOOKUP(F249,Tabelle1!$A$2:$L$496,12,0))</f>
        <v/>
      </c>
    </row>
    <row r="250" spans="1:16">
      <c r="A250" s="67"/>
      <c r="B250" s="55" t="s">
        <v>361</v>
      </c>
      <c r="C250" s="55">
        <v>252</v>
      </c>
      <c r="D250" s="56" t="str">
        <f>IF(K250="","",VLOOKUP(F250,Tabelle1!$A$2:$C$496,3,0))</f>
        <v/>
      </c>
      <c r="E250" s="57" t="str">
        <f>IF(K250="","",VLOOKUP(F250,Tabelle1!$A$2:$M$496,13,0))</f>
        <v/>
      </c>
      <c r="F250" s="56"/>
      <c r="G250" s="57"/>
      <c r="H250" s="57"/>
      <c r="I250" s="57"/>
      <c r="J250" s="57"/>
      <c r="K250" s="57"/>
      <c r="L250" s="57" t="str">
        <f>IF(K250="","",VLOOKUP(F250,Tabelle1!$A$2:$I$496,9,0))</f>
        <v/>
      </c>
      <c r="M250" s="57" t="str">
        <f>IF(K250="","",VLOOKUP(F250,Tabelle1!$A$2:$G$496,7,0))</f>
        <v/>
      </c>
      <c r="N250" s="66" t="str">
        <f t="shared" si="6"/>
        <v/>
      </c>
      <c r="O250" s="66" t="str">
        <f>IF(K250="","",((K250*VLOOKUP(F250,Tabelle1!$A$2:$I$496,8,0))/$W$4))</f>
        <v/>
      </c>
      <c r="P250" s="76" t="str">
        <f>IF(K250="","",VLOOKUP(F250,Tabelle1!$A$2:$L$496,12,0))</f>
        <v/>
      </c>
    </row>
    <row r="251" spans="1:16">
      <c r="A251" s="67"/>
      <c r="B251" s="55" t="s">
        <v>361</v>
      </c>
      <c r="C251" s="55">
        <v>253</v>
      </c>
      <c r="D251" s="56" t="str">
        <f>IF(K251="","",VLOOKUP(F251,Tabelle1!$A$2:$C$496,3,0))</f>
        <v/>
      </c>
      <c r="E251" s="57" t="str">
        <f>IF(K251="","",VLOOKUP(F251,Tabelle1!$A$2:$M$496,13,0))</f>
        <v/>
      </c>
      <c r="F251" s="56"/>
      <c r="G251" s="57"/>
      <c r="H251" s="57"/>
      <c r="I251" s="57"/>
      <c r="J251" s="57"/>
      <c r="K251" s="57"/>
      <c r="L251" s="57" t="str">
        <f>IF(K251="","",VLOOKUP(F251,Tabelle1!$A$2:$I$496,9,0))</f>
        <v/>
      </c>
      <c r="M251" s="57" t="str">
        <f>IF(K251="","",VLOOKUP(F251,Tabelle1!$A$2:$G$496,7,0))</f>
        <v/>
      </c>
      <c r="N251" s="66" t="str">
        <f t="shared" si="6"/>
        <v/>
      </c>
      <c r="O251" s="66" t="str">
        <f>IF(K251="","",((K251*VLOOKUP(F251,Tabelle1!$A$2:$I$496,8,0))/$W$4))</f>
        <v/>
      </c>
      <c r="P251" s="76" t="str">
        <f>IF(K251="","",VLOOKUP(F251,Tabelle1!$A$2:$L$496,12,0))</f>
        <v/>
      </c>
    </row>
    <row r="252" spans="1:16">
      <c r="A252" s="67"/>
      <c r="B252" s="55" t="s">
        <v>361</v>
      </c>
      <c r="C252" s="55">
        <v>254</v>
      </c>
      <c r="D252" s="56" t="str">
        <f>IF(K252="","",VLOOKUP(F252,Tabelle1!$A$2:$C$496,3,0))</f>
        <v/>
      </c>
      <c r="E252" s="57" t="str">
        <f>IF(K252="","",VLOOKUP(F252,Tabelle1!$A$2:$M$496,13,0))</f>
        <v/>
      </c>
      <c r="F252" s="56"/>
      <c r="G252" s="57"/>
      <c r="H252" s="57"/>
      <c r="I252" s="57"/>
      <c r="J252" s="57"/>
      <c r="K252" s="57"/>
      <c r="L252" s="57" t="str">
        <f>IF(K252="","",VLOOKUP(F252,Tabelle1!$A$2:$I$496,9,0))</f>
        <v/>
      </c>
      <c r="M252" s="57" t="str">
        <f>IF(K252="","",VLOOKUP(F252,Tabelle1!$A$2:$G$496,7,0))</f>
        <v/>
      </c>
      <c r="N252" s="66" t="str">
        <f t="shared" si="6"/>
        <v/>
      </c>
      <c r="O252" s="66" t="str">
        <f>IF(K252="","",((K252*VLOOKUP(F252,Tabelle1!$A$2:$I$496,8,0))/$W$4))</f>
        <v/>
      </c>
      <c r="P252" s="76" t="str">
        <f>IF(K252="","",VLOOKUP(F252,Tabelle1!$A$2:$L$496,12,0))</f>
        <v/>
      </c>
    </row>
    <row r="253" spans="1:16">
      <c r="A253" s="67"/>
      <c r="B253" s="55" t="s">
        <v>361</v>
      </c>
      <c r="C253" s="55">
        <v>255</v>
      </c>
      <c r="D253" s="56" t="str">
        <f>IF(K253="","",VLOOKUP(F253,Tabelle1!$A$2:$C$496,3,0))</f>
        <v/>
      </c>
      <c r="E253" s="57" t="str">
        <f>IF(K253="","",VLOOKUP(F253,Tabelle1!$A$2:$M$496,13,0))</f>
        <v/>
      </c>
      <c r="F253" s="56"/>
      <c r="G253" s="57"/>
      <c r="H253" s="57"/>
      <c r="I253" s="57"/>
      <c r="J253" s="57"/>
      <c r="K253" s="57"/>
      <c r="L253" s="57" t="str">
        <f>IF(K253="","",VLOOKUP(F253,Tabelle1!$A$2:$I$496,9,0))</f>
        <v/>
      </c>
      <c r="M253" s="57" t="str">
        <f>IF(K253="","",VLOOKUP(F253,Tabelle1!$A$2:$G$496,7,0))</f>
        <v/>
      </c>
      <c r="N253" s="66" t="str">
        <f t="shared" si="6"/>
        <v/>
      </c>
      <c r="O253" s="66" t="str">
        <f>IF(K253="","",((K253*VLOOKUP(F253,Tabelle1!$A$2:$I$496,8,0))/$W$4))</f>
        <v/>
      </c>
      <c r="P253" s="76" t="str">
        <f>IF(K253="","",VLOOKUP(F253,Tabelle1!$A$2:$L$496,12,0))</f>
        <v/>
      </c>
    </row>
    <row r="254" spans="1:16">
      <c r="A254" s="67"/>
      <c r="B254" s="55" t="s">
        <v>361</v>
      </c>
      <c r="C254" s="55">
        <v>256</v>
      </c>
      <c r="D254" s="56" t="str">
        <f>IF(K254="","",VLOOKUP(F254,Tabelle1!$A$2:$C$496,3,0))</f>
        <v/>
      </c>
      <c r="E254" s="57" t="str">
        <f>IF(K254="","",VLOOKUP(F254,Tabelle1!$A$2:$M$496,13,0))</f>
        <v/>
      </c>
      <c r="F254" s="56"/>
      <c r="G254" s="57"/>
      <c r="H254" s="57"/>
      <c r="I254" s="57"/>
      <c r="J254" s="57"/>
      <c r="K254" s="57"/>
      <c r="L254" s="57" t="str">
        <f>IF(K254="","",VLOOKUP(F254,Tabelle1!$A$2:$I$496,9,0))</f>
        <v/>
      </c>
      <c r="M254" s="57" t="str">
        <f>IF(K254="","",VLOOKUP(F254,Tabelle1!$A$2:$G$496,7,0))</f>
        <v/>
      </c>
      <c r="N254" s="66" t="str">
        <f t="shared" si="6"/>
        <v/>
      </c>
      <c r="O254" s="66" t="str">
        <f>IF(K254="","",((K254*VLOOKUP(F254,Tabelle1!$A$2:$I$496,8,0))/$W$4))</f>
        <v/>
      </c>
      <c r="P254" s="76" t="str">
        <f>IF(K254="","",VLOOKUP(F254,Tabelle1!$A$2:$L$496,12,0))</f>
        <v/>
      </c>
    </row>
    <row r="255" spans="1:16">
      <c r="A255" s="67"/>
      <c r="B255" s="55" t="s">
        <v>361</v>
      </c>
      <c r="C255" s="55">
        <v>257</v>
      </c>
      <c r="D255" s="56" t="str">
        <f>IF(K255="","",VLOOKUP(F255,Tabelle1!$A$2:$C$496,3,0))</f>
        <v/>
      </c>
      <c r="E255" s="57" t="str">
        <f>IF(K255="","",VLOOKUP(F255,Tabelle1!$A$2:$M$496,13,0))</f>
        <v/>
      </c>
      <c r="F255" s="56"/>
      <c r="G255" s="57"/>
      <c r="H255" s="57"/>
      <c r="I255" s="57"/>
      <c r="J255" s="57"/>
      <c r="K255" s="57"/>
      <c r="L255" s="57" t="str">
        <f>IF(K255="","",VLOOKUP(F255,Tabelle1!$A$2:$I$496,9,0))</f>
        <v/>
      </c>
      <c r="M255" s="57" t="str">
        <f>IF(K255="","",VLOOKUP(F255,Tabelle1!$A$2:$G$496,7,0))</f>
        <v/>
      </c>
      <c r="N255" s="66" t="str">
        <f t="shared" si="6"/>
        <v/>
      </c>
      <c r="O255" s="66" t="str">
        <f>IF(K255="","",((K255*VLOOKUP(F255,Tabelle1!$A$2:$I$496,8,0))/$W$4))</f>
        <v/>
      </c>
      <c r="P255" s="76" t="str">
        <f>IF(K255="","",VLOOKUP(F255,Tabelle1!$A$2:$L$496,12,0))</f>
        <v/>
      </c>
    </row>
    <row r="256" spans="1:16">
      <c r="A256" s="67"/>
      <c r="B256" s="55" t="s">
        <v>361</v>
      </c>
      <c r="C256" s="55">
        <v>258</v>
      </c>
      <c r="D256" s="56" t="str">
        <f>IF(K256="","",VLOOKUP(F256,Tabelle1!$A$2:$C$496,3,0))</f>
        <v/>
      </c>
      <c r="E256" s="57" t="str">
        <f>IF(K256="","",VLOOKUP(F256,Tabelle1!$A$2:$M$496,13,0))</f>
        <v/>
      </c>
      <c r="F256" s="56"/>
      <c r="G256" s="57"/>
      <c r="H256" s="57"/>
      <c r="I256" s="57"/>
      <c r="J256" s="57"/>
      <c r="K256" s="57"/>
      <c r="L256" s="57" t="str">
        <f>IF(K256="","",VLOOKUP(F256,Tabelle1!$A$2:$I$496,9,0))</f>
        <v/>
      </c>
      <c r="M256" s="57" t="str">
        <f>IF(K256="","",VLOOKUP(F256,Tabelle1!$A$2:$G$496,7,0))</f>
        <v/>
      </c>
      <c r="N256" s="66" t="str">
        <f t="shared" si="6"/>
        <v/>
      </c>
      <c r="O256" s="66" t="str">
        <f>IF(K256="","",((K256*VLOOKUP(F256,Tabelle1!$A$2:$I$496,8,0))/$W$4))</f>
        <v/>
      </c>
      <c r="P256" s="76" t="str">
        <f>IF(K256="","",VLOOKUP(F256,Tabelle1!$A$2:$L$496,12,0))</f>
        <v/>
      </c>
    </row>
    <row r="257" spans="1:16">
      <c r="A257" s="67"/>
      <c r="B257" s="55" t="s">
        <v>361</v>
      </c>
      <c r="C257" s="55">
        <v>259</v>
      </c>
      <c r="D257" s="56" t="str">
        <f>IF(K257="","",VLOOKUP(F257,Tabelle1!$A$2:$C$496,3,0))</f>
        <v/>
      </c>
      <c r="E257" s="57" t="str">
        <f>IF(K257="","",VLOOKUP(F257,Tabelle1!$A$2:$M$496,13,0))</f>
        <v/>
      </c>
      <c r="F257" s="56"/>
      <c r="G257" s="57"/>
      <c r="H257" s="57"/>
      <c r="I257" s="57"/>
      <c r="J257" s="57"/>
      <c r="K257" s="57"/>
      <c r="L257" s="57" t="str">
        <f>IF(K257="","",VLOOKUP(F257,Tabelle1!$A$2:$I$496,9,0))</f>
        <v/>
      </c>
      <c r="M257" s="57" t="str">
        <f>IF(K257="","",VLOOKUP(F257,Tabelle1!$A$2:$G$496,7,0))</f>
        <v/>
      </c>
      <c r="N257" s="66" t="str">
        <f t="shared" si="6"/>
        <v/>
      </c>
      <c r="O257" s="66" t="str">
        <f>IF(K257="","",((K257*VLOOKUP(F257,Tabelle1!$A$2:$I$496,8,0))/$W$4))</f>
        <v/>
      </c>
      <c r="P257" s="76" t="str">
        <f>IF(K257="","",VLOOKUP(F257,Tabelle1!$A$2:$L$496,12,0))</f>
        <v/>
      </c>
    </row>
    <row r="258" spans="1:16">
      <c r="A258" s="67"/>
      <c r="B258" s="55" t="s">
        <v>361</v>
      </c>
      <c r="C258" s="55">
        <v>260</v>
      </c>
      <c r="D258" s="56" t="str">
        <f>IF(K258="","",VLOOKUP(F258,Tabelle1!$A$2:$C$496,3,0))</f>
        <v/>
      </c>
      <c r="E258" s="57" t="str">
        <f>IF(K258="","",VLOOKUP(F258,Tabelle1!$A$2:$M$496,13,0))</f>
        <v/>
      </c>
      <c r="F258" s="56"/>
      <c r="G258" s="57"/>
      <c r="H258" s="57"/>
      <c r="I258" s="57"/>
      <c r="J258" s="57"/>
      <c r="K258" s="57"/>
      <c r="L258" s="57" t="str">
        <f>IF(K258="","",VLOOKUP(F258,Tabelle1!$A$2:$I$496,9,0))</f>
        <v/>
      </c>
      <c r="M258" s="57" t="str">
        <f>IF(K258="","",VLOOKUP(F258,Tabelle1!$A$2:$G$496,7,0))</f>
        <v/>
      </c>
      <c r="N258" s="66" t="str">
        <f t="shared" si="6"/>
        <v/>
      </c>
      <c r="O258" s="66" t="str">
        <f>IF(K258="","",((K258*VLOOKUP(F258,Tabelle1!$A$2:$I$496,8,0))/$W$4))</f>
        <v/>
      </c>
      <c r="P258" s="76" t="str">
        <f>IF(K258="","",VLOOKUP(F258,Tabelle1!$A$2:$L$496,12,0))</f>
        <v/>
      </c>
    </row>
    <row r="259" spans="1:16">
      <c r="A259" s="67"/>
      <c r="B259" s="55" t="s">
        <v>361</v>
      </c>
      <c r="C259" s="55">
        <v>261</v>
      </c>
      <c r="D259" s="56" t="str">
        <f>IF(K259="","",VLOOKUP(F259,Tabelle1!$A$2:$C$496,3,0))</f>
        <v/>
      </c>
      <c r="E259" s="57" t="str">
        <f>IF(K259="","",VLOOKUP(F259,Tabelle1!$A$2:$M$496,13,0))</f>
        <v/>
      </c>
      <c r="F259" s="56"/>
      <c r="G259" s="57"/>
      <c r="H259" s="57"/>
      <c r="I259" s="57"/>
      <c r="J259" s="57"/>
      <c r="K259" s="57"/>
      <c r="L259" s="57" t="str">
        <f>IF(K259="","",VLOOKUP(F259,Tabelle1!$A$2:$I$496,9,0))</f>
        <v/>
      </c>
      <c r="M259" s="57" t="str">
        <f>IF(K259="","",VLOOKUP(F259,Tabelle1!$A$2:$G$496,7,0))</f>
        <v/>
      </c>
      <c r="N259" s="66" t="str">
        <f t="shared" si="6"/>
        <v/>
      </c>
      <c r="O259" s="66" t="str">
        <f>IF(K259="","",((K259*VLOOKUP(F259,Tabelle1!$A$2:$I$496,8,0))/$W$4))</f>
        <v/>
      </c>
      <c r="P259" s="76" t="str">
        <f>IF(K259="","",VLOOKUP(F259,Tabelle1!$A$2:$L$496,12,0))</f>
        <v/>
      </c>
    </row>
    <row r="260" spans="1:16">
      <c r="A260" s="67"/>
      <c r="B260" s="55" t="s">
        <v>361</v>
      </c>
      <c r="C260" s="55">
        <v>262</v>
      </c>
      <c r="D260" s="56" t="str">
        <f>IF(K260="","",VLOOKUP(F260,Tabelle1!$A$2:$C$496,3,0))</f>
        <v/>
      </c>
      <c r="E260" s="57" t="str">
        <f>IF(K260="","",VLOOKUP(F260,Tabelle1!$A$2:$M$496,13,0))</f>
        <v/>
      </c>
      <c r="F260" s="56"/>
      <c r="G260" s="57"/>
      <c r="H260" s="57"/>
      <c r="I260" s="57"/>
      <c r="J260" s="57"/>
      <c r="K260" s="57"/>
      <c r="L260" s="57" t="str">
        <f>IF(K260="","",VLOOKUP(F260,Tabelle1!$A$2:$I$496,9,0))</f>
        <v/>
      </c>
      <c r="M260" s="57" t="str">
        <f>IF(K260="","",VLOOKUP(F260,Tabelle1!$A$2:$G$496,7,0))</f>
        <v/>
      </c>
      <c r="N260" s="66" t="str">
        <f t="shared" si="6"/>
        <v/>
      </c>
      <c r="O260" s="66" t="str">
        <f>IF(K260="","",((K260*VLOOKUP(F260,Tabelle1!$A$2:$I$496,8,0))/$W$4))</f>
        <v/>
      </c>
      <c r="P260" s="76" t="str">
        <f>IF(K260="","",VLOOKUP(F260,Tabelle1!$A$2:$L$496,12,0))</f>
        <v/>
      </c>
    </row>
    <row r="261" spans="1:16">
      <c r="A261" s="67"/>
      <c r="B261" s="55" t="s">
        <v>361</v>
      </c>
      <c r="C261" s="55">
        <v>263</v>
      </c>
      <c r="D261" s="56" t="str">
        <f>IF(K261="","",VLOOKUP(F261,Tabelle1!$A$2:$C$496,3,0))</f>
        <v/>
      </c>
      <c r="E261" s="57" t="str">
        <f>IF(K261="","",VLOOKUP(F261,Tabelle1!$A$2:$M$496,13,0))</f>
        <v/>
      </c>
      <c r="F261" s="56"/>
      <c r="G261" s="57"/>
      <c r="H261" s="57"/>
      <c r="I261" s="57"/>
      <c r="J261" s="57"/>
      <c r="K261" s="57"/>
      <c r="L261" s="57" t="str">
        <f>IF(K261="","",VLOOKUP(F261,Tabelle1!$A$2:$I$496,9,0))</f>
        <v/>
      </c>
      <c r="M261" s="57" t="str">
        <f>IF(K261="","",VLOOKUP(F261,Tabelle1!$A$2:$G$496,7,0))</f>
        <v/>
      </c>
      <c r="N261" s="66" t="str">
        <f t="shared" ref="N261:N265" si="7">IF(M261&gt;0,O261,"")</f>
        <v/>
      </c>
      <c r="O261" s="66" t="str">
        <f>IF(K261="","",((K261*VLOOKUP(F261,Tabelle1!$A$2:$I$496,8,0))/$W$4))</f>
        <v/>
      </c>
      <c r="P261" s="76" t="str">
        <f>IF(K261="","",VLOOKUP(F261,Tabelle1!$A$2:$L$496,12,0))</f>
        <v/>
      </c>
    </row>
    <row r="262" spans="1:16">
      <c r="A262" s="67"/>
      <c r="B262" s="55" t="s">
        <v>361</v>
      </c>
      <c r="C262" s="55">
        <v>264</v>
      </c>
      <c r="D262" s="56" t="str">
        <f>IF(K262="","",VLOOKUP(F262,Tabelle1!$A$2:$C$496,3,0))</f>
        <v/>
      </c>
      <c r="E262" s="57" t="str">
        <f>IF(K262="","",VLOOKUP(F262,Tabelle1!$A$2:$M$496,13,0))</f>
        <v/>
      </c>
      <c r="F262" s="56"/>
      <c r="G262" s="57"/>
      <c r="H262" s="57"/>
      <c r="I262" s="57"/>
      <c r="J262" s="57"/>
      <c r="K262" s="57"/>
      <c r="L262" s="57" t="str">
        <f>IF(K262="","",VLOOKUP(F262,Tabelle1!$A$2:$I$496,9,0))</f>
        <v/>
      </c>
      <c r="M262" s="57" t="str">
        <f>IF(K262="","",VLOOKUP(F262,Tabelle1!$A$2:$G$496,7,0))</f>
        <v/>
      </c>
      <c r="N262" s="66" t="str">
        <f t="shared" si="7"/>
        <v/>
      </c>
      <c r="O262" s="66" t="str">
        <f>IF(K262="","",((K262*VLOOKUP(F262,Tabelle1!$A$2:$I$496,8,0))/$W$4))</f>
        <v/>
      </c>
      <c r="P262" s="76" t="str">
        <f>IF(K262="","",VLOOKUP(F262,Tabelle1!$A$2:$L$496,12,0))</f>
        <v/>
      </c>
    </row>
    <row r="263" spans="1:16">
      <c r="A263" s="67"/>
      <c r="B263" s="55" t="s">
        <v>361</v>
      </c>
      <c r="C263" s="55">
        <v>265</v>
      </c>
      <c r="D263" s="56" t="str">
        <f>IF(K263="","",VLOOKUP(F263,Tabelle1!$A$2:$C$496,3,0))</f>
        <v/>
      </c>
      <c r="E263" s="57" t="str">
        <f>IF(K263="","",VLOOKUP(F263,Tabelle1!$A$2:$M$496,13,0))</f>
        <v/>
      </c>
      <c r="F263" s="56"/>
      <c r="G263" s="57"/>
      <c r="H263" s="57"/>
      <c r="I263" s="57"/>
      <c r="J263" s="57"/>
      <c r="K263" s="57"/>
      <c r="L263" s="57" t="str">
        <f>IF(K263="","",VLOOKUP(F263,Tabelle1!$A$2:$I$496,9,0))</f>
        <v/>
      </c>
      <c r="M263" s="57" t="str">
        <f>IF(K263="","",VLOOKUP(F263,Tabelle1!$A$2:$G$496,7,0))</f>
        <v/>
      </c>
      <c r="N263" s="66" t="str">
        <f t="shared" si="7"/>
        <v/>
      </c>
      <c r="O263" s="66" t="str">
        <f>IF(K263="","",((K263*VLOOKUP(F263,Tabelle1!$A$2:$I$496,8,0))/$W$4))</f>
        <v/>
      </c>
      <c r="P263" s="76" t="str">
        <f>IF(K263="","",VLOOKUP(F263,Tabelle1!$A$2:$L$496,12,0))</f>
        <v/>
      </c>
    </row>
    <row r="264" spans="1:16">
      <c r="A264" s="67"/>
      <c r="B264" s="55" t="s">
        <v>361</v>
      </c>
      <c r="C264" s="55">
        <v>266</v>
      </c>
      <c r="D264" s="56" t="str">
        <f>IF(K264="","",VLOOKUP(F264,Tabelle1!$A$2:$C$496,3,0))</f>
        <v/>
      </c>
      <c r="E264" s="57" t="str">
        <f>IF(K264="","",VLOOKUP(F264,Tabelle1!$A$2:$M$496,13,0))</f>
        <v/>
      </c>
      <c r="F264" s="56"/>
      <c r="G264" s="57"/>
      <c r="H264" s="57"/>
      <c r="I264" s="57"/>
      <c r="J264" s="57"/>
      <c r="K264" s="57"/>
      <c r="L264" s="57" t="str">
        <f>IF(K264="","",VLOOKUP(F264,Tabelle1!$A$2:$I$496,9,0))</f>
        <v/>
      </c>
      <c r="M264" s="57" t="str">
        <f>IF(K264="","",VLOOKUP(F264,Tabelle1!$A$2:$G$496,7,0))</f>
        <v/>
      </c>
      <c r="N264" s="66" t="str">
        <f t="shared" si="7"/>
        <v/>
      </c>
      <c r="O264" s="66" t="str">
        <f>IF(K264="","",((K264*VLOOKUP(F264,Tabelle1!$A$2:$I$496,8,0))/$W$4))</f>
        <v/>
      </c>
      <c r="P264" s="76" t="str">
        <f>IF(K264="","",VLOOKUP(F264,Tabelle1!$A$2:$L$496,12,0))</f>
        <v/>
      </c>
    </row>
    <row r="265" spans="1:16">
      <c r="A265" s="67"/>
      <c r="B265" s="55" t="s">
        <v>361</v>
      </c>
      <c r="C265" s="55">
        <v>267</v>
      </c>
      <c r="D265" s="56" t="str">
        <f>IF(K265="","",VLOOKUP(F265,Tabelle1!$A$2:$C$496,3,0))</f>
        <v/>
      </c>
      <c r="E265" s="57" t="str">
        <f>IF(K265="","",VLOOKUP(F265,Tabelle1!$A$2:$M$496,13,0))</f>
        <v/>
      </c>
      <c r="F265" s="56"/>
      <c r="G265" s="57"/>
      <c r="H265" s="57"/>
      <c r="I265" s="57"/>
      <c r="J265" s="57"/>
      <c r="K265" s="57"/>
      <c r="L265" s="57" t="str">
        <f>IF(K265="","",VLOOKUP(F265,Tabelle1!$A$2:$I$496,9,0))</f>
        <v/>
      </c>
      <c r="M265" s="57" t="str">
        <f>IF(K265="","",VLOOKUP(F265,Tabelle1!$A$2:$G$496,7,0))</f>
        <v/>
      </c>
      <c r="N265" s="66" t="str">
        <f t="shared" si="7"/>
        <v/>
      </c>
      <c r="O265" s="66" t="str">
        <f>IF(K265="","",((K265*VLOOKUP(F265,Tabelle1!$A$2:$I$496,8,0))/$W$4))</f>
        <v/>
      </c>
      <c r="P265" s="76" t="str">
        <f>IF(K265="","",VLOOKUP(F265,Tabelle1!$A$2:$L$496,12,0))</f>
        <v/>
      </c>
    </row>
  </sheetData>
  <mergeCells count="13">
    <mergeCell ref="R11:S11"/>
    <mergeCell ref="R3:S3"/>
    <mergeCell ref="R7:S7"/>
    <mergeCell ref="R8:S8"/>
    <mergeCell ref="R9:S9"/>
    <mergeCell ref="R10:S10"/>
    <mergeCell ref="S45:T45"/>
    <mergeCell ref="R12:S12"/>
    <mergeCell ref="R13:S13"/>
    <mergeCell ref="R14:S14"/>
    <mergeCell ref="R15:S15"/>
    <mergeCell ref="R16:S16"/>
    <mergeCell ref="R42:S42"/>
  </mergeCells>
  <conditionalFormatting sqref="D4:E265 L4:O265">
    <cfRule type="containsBlanks" dxfId="1038" priority="720">
      <formula>LEN(TRIM(D4))=0</formula>
    </cfRule>
  </conditionalFormatting>
  <conditionalFormatting sqref="F4">
    <cfRule type="duplicateValues" dxfId="1037" priority="705"/>
    <cfRule type="duplicateValues" dxfId="1036" priority="692"/>
    <cfRule type="duplicateValues" dxfId="1035" priority="691"/>
    <cfRule type="duplicateValues" dxfId="1034" priority="595"/>
    <cfRule type="duplicateValues" dxfId="1033" priority="623"/>
    <cfRule type="duplicateValues" dxfId="1032" priority="624"/>
    <cfRule type="duplicateValues" dxfId="1031" priority="661"/>
    <cfRule type="duplicateValues" dxfId="1030" priority="630"/>
    <cfRule type="duplicateValues" dxfId="1029" priority="660"/>
    <cfRule type="duplicateValues" dxfId="1028" priority="625"/>
    <cfRule type="duplicateValues" dxfId="1027" priority="626"/>
    <cfRule type="duplicateValues" dxfId="1026" priority="627"/>
    <cfRule type="duplicateValues" dxfId="1025" priority="628"/>
    <cfRule type="duplicateValues" dxfId="1024" priority="629"/>
    <cfRule type="duplicateValues" dxfId="1023" priority="631"/>
    <cfRule type="duplicateValues" dxfId="1022" priority="676"/>
    <cfRule type="duplicateValues" dxfId="1021" priority="594"/>
    <cfRule type="duplicateValues" dxfId="1020" priority="635"/>
    <cfRule type="duplicateValues" dxfId="1019" priority="598"/>
    <cfRule type="duplicateValues" dxfId="1018" priority="597"/>
    <cfRule type="duplicateValues" dxfId="1017" priority="636"/>
    <cfRule type="duplicateValues" dxfId="1016" priority="664"/>
    <cfRule type="duplicateValues" dxfId="1015" priority="637"/>
    <cfRule type="duplicateValues" dxfId="1014" priority="657"/>
    <cfRule type="duplicateValues" dxfId="1013" priority="671"/>
    <cfRule type="duplicateValues" dxfId="1012" priority="702"/>
    <cfRule type="duplicateValues" dxfId="1011" priority="693"/>
    <cfRule type="duplicateValues" dxfId="1010" priority="596"/>
    <cfRule type="duplicateValues" dxfId="1009" priority="650"/>
  </conditionalFormatting>
  <conditionalFormatting sqref="F5">
    <cfRule type="duplicateValues" dxfId="1008" priority="573"/>
    <cfRule type="duplicateValues" dxfId="1007" priority="574"/>
    <cfRule type="duplicateValues" dxfId="1006" priority="575"/>
    <cfRule type="duplicateValues" dxfId="1005" priority="576"/>
    <cfRule type="duplicateValues" dxfId="1004" priority="577"/>
    <cfRule type="duplicateValues" dxfId="1003" priority="681"/>
    <cfRule type="duplicateValues" dxfId="1002" priority="680"/>
    <cfRule type="duplicateValues" dxfId="1001" priority="679"/>
    <cfRule type="duplicateValues" dxfId="1000" priority="566"/>
    <cfRule type="duplicateValues" dxfId="999" priority="678"/>
    <cfRule type="duplicateValues" dxfId="998" priority="677"/>
    <cfRule type="duplicateValues" dxfId="997" priority="589"/>
    <cfRule type="duplicateValues" dxfId="996" priority="590"/>
    <cfRule type="duplicateValues" dxfId="995" priority="591"/>
    <cfRule type="duplicateValues" dxfId="994" priority="653"/>
    <cfRule type="duplicateValues" dxfId="993" priority="674"/>
    <cfRule type="duplicateValues" dxfId="992" priority="593"/>
    <cfRule type="duplicateValues" dxfId="991" priority="670"/>
    <cfRule type="duplicateValues" dxfId="990" priority="567"/>
    <cfRule type="duplicateValues" dxfId="989" priority="568"/>
    <cfRule type="duplicateValues" dxfId="988" priority="569"/>
    <cfRule type="duplicateValues" dxfId="987" priority="570"/>
    <cfRule type="duplicateValues" dxfId="986" priority="571"/>
    <cfRule type="duplicateValues" dxfId="985" priority="572"/>
    <cfRule type="duplicateValues" dxfId="984" priority="663"/>
    <cfRule type="duplicateValues" dxfId="983" priority="641"/>
    <cfRule type="duplicateValues" dxfId="982" priority="704"/>
    <cfRule type="duplicateValues" dxfId="981" priority="592"/>
    <cfRule type="duplicateValues" dxfId="980" priority="659"/>
    <cfRule type="duplicateValues" dxfId="979" priority="639"/>
    <cfRule type="duplicateValues" dxfId="978" priority="640"/>
    <cfRule type="duplicateValues" dxfId="977" priority="642"/>
    <cfRule type="duplicateValues" dxfId="976" priority="698"/>
    <cfRule type="duplicateValues" dxfId="975" priority="688"/>
    <cfRule type="duplicateValues" dxfId="974" priority="643"/>
    <cfRule type="duplicateValues" dxfId="973" priority="647"/>
    <cfRule type="duplicateValues" dxfId="972" priority="638"/>
  </conditionalFormatting>
  <conditionalFormatting sqref="F6">
    <cfRule type="duplicateValues" dxfId="971" priority="658"/>
    <cfRule type="duplicateValues" dxfId="970" priority="652"/>
    <cfRule type="duplicateValues" dxfId="969" priority="646"/>
    <cfRule type="duplicateValues" dxfId="968" priority="682"/>
    <cfRule type="duplicateValues" dxfId="967" priority="622"/>
    <cfRule type="duplicateValues" dxfId="966" priority="621"/>
    <cfRule type="duplicateValues" dxfId="965" priority="586"/>
    <cfRule type="duplicateValues" dxfId="964" priority="587"/>
    <cfRule type="duplicateValues" dxfId="963" priority="588"/>
    <cfRule type="duplicateValues" dxfId="962" priority="620"/>
    <cfRule type="duplicateValues" dxfId="961" priority="619"/>
    <cfRule type="duplicateValues" dxfId="960" priority="618"/>
    <cfRule type="duplicateValues" dxfId="959" priority="616"/>
    <cfRule type="duplicateValues" dxfId="958" priority="615"/>
    <cfRule type="duplicateValues" dxfId="957" priority="614"/>
    <cfRule type="duplicateValues" dxfId="956" priority="617"/>
    <cfRule type="duplicateValues" dxfId="955" priority="703"/>
    <cfRule type="duplicateValues" dxfId="954" priority="697"/>
    <cfRule type="duplicateValues" dxfId="953" priority="684"/>
    <cfRule type="duplicateValues" dxfId="952" priority="683"/>
    <cfRule type="duplicateValues" dxfId="951" priority="668"/>
    <cfRule type="duplicateValues" dxfId="950" priority="667"/>
    <cfRule type="duplicateValues" dxfId="949" priority="666"/>
    <cfRule type="duplicateValues" dxfId="948" priority="665"/>
    <cfRule type="duplicateValues" dxfId="947" priority="662"/>
    <cfRule type="duplicateValues" dxfId="946" priority="673"/>
  </conditionalFormatting>
  <conditionalFormatting sqref="F7">
    <cfRule type="duplicateValues" dxfId="945" priority="656"/>
    <cfRule type="duplicateValues" dxfId="944" priority="686"/>
    <cfRule type="duplicateValues" dxfId="943" priority="672"/>
    <cfRule type="duplicateValues" dxfId="942" priority="585"/>
    <cfRule type="duplicateValues" dxfId="941" priority="649"/>
    <cfRule type="duplicateValues" dxfId="940" priority="583"/>
    <cfRule type="duplicateValues" dxfId="939" priority="701"/>
    <cfRule type="duplicateValues" dxfId="938" priority="669"/>
    <cfRule type="duplicateValues" dxfId="937" priority="633"/>
    <cfRule type="duplicateValues" dxfId="936" priority="632"/>
    <cfRule type="duplicateValues" dxfId="935" priority="634"/>
    <cfRule type="duplicateValues" dxfId="934" priority="584"/>
  </conditionalFormatting>
  <conditionalFormatting sqref="F8">
    <cfRule type="duplicateValues" dxfId="933" priority="556"/>
    <cfRule type="duplicateValues" dxfId="932" priority="685"/>
    <cfRule type="duplicateValues" dxfId="931" priority="565"/>
    <cfRule type="duplicateValues" dxfId="930" priority="645"/>
    <cfRule type="duplicateValues" dxfId="929" priority="609"/>
    <cfRule type="duplicateValues" dxfId="928" priority="610"/>
    <cfRule type="duplicateValues" dxfId="927" priority="557"/>
    <cfRule type="duplicateValues" dxfId="926" priority="558"/>
    <cfRule type="duplicateValues" dxfId="925" priority="611"/>
    <cfRule type="duplicateValues" dxfId="924" priority="700"/>
    <cfRule type="duplicateValues" dxfId="923" priority="559"/>
    <cfRule type="duplicateValues" dxfId="922" priority="612"/>
    <cfRule type="duplicateValues" dxfId="921" priority="613"/>
    <cfRule type="duplicateValues" dxfId="920" priority="560"/>
    <cfRule type="duplicateValues" dxfId="919" priority="579"/>
    <cfRule type="duplicateValues" dxfId="918" priority="655"/>
    <cfRule type="duplicateValues" dxfId="917" priority="561"/>
    <cfRule type="duplicateValues" dxfId="916" priority="608"/>
    <cfRule type="duplicateValues" dxfId="915" priority="562"/>
    <cfRule type="duplicateValues" dxfId="914" priority="563"/>
    <cfRule type="duplicateValues" dxfId="913" priority="564"/>
    <cfRule type="duplicateValues" dxfId="912" priority="605"/>
    <cfRule type="duplicateValues" dxfId="911" priority="606"/>
    <cfRule type="duplicateValues" dxfId="910" priority="607"/>
    <cfRule type="duplicateValues" dxfId="909" priority="675"/>
    <cfRule type="duplicateValues" dxfId="908" priority="554"/>
    <cfRule type="duplicateValues" dxfId="907" priority="553"/>
    <cfRule type="duplicateValues" dxfId="906" priority="552"/>
    <cfRule type="duplicateValues" dxfId="905" priority="551"/>
    <cfRule type="duplicateValues" dxfId="904" priority="555"/>
    <cfRule type="duplicateValues" dxfId="903" priority="549"/>
    <cfRule type="duplicateValues" dxfId="902" priority="548"/>
    <cfRule type="duplicateValues" dxfId="901" priority="547"/>
    <cfRule type="duplicateValues" dxfId="900" priority="546"/>
    <cfRule type="duplicateValues" dxfId="899" priority="550"/>
  </conditionalFormatting>
  <conditionalFormatting sqref="F9">
    <cfRule type="duplicateValues" dxfId="898" priority="581"/>
    <cfRule type="duplicateValues" dxfId="897" priority="582"/>
    <cfRule type="duplicateValues" dxfId="896" priority="644"/>
    <cfRule type="duplicateValues" dxfId="895" priority="687"/>
    <cfRule type="duplicateValues" dxfId="894" priority="699"/>
    <cfRule type="duplicateValues" dxfId="893" priority="540"/>
    <cfRule type="duplicateValues" dxfId="892" priority="599"/>
    <cfRule type="duplicateValues" dxfId="891" priority="654"/>
    <cfRule type="duplicateValues" dxfId="890" priority="531"/>
    <cfRule type="duplicateValues" dxfId="889" priority="545"/>
    <cfRule type="duplicateValues" dxfId="888" priority="544"/>
    <cfRule type="duplicateValues" dxfId="887" priority="543"/>
    <cfRule type="duplicateValues" dxfId="886" priority="542"/>
    <cfRule type="duplicateValues" dxfId="885" priority="541"/>
    <cfRule type="duplicateValues" dxfId="884" priority="580"/>
    <cfRule type="duplicateValues" dxfId="883" priority="539"/>
    <cfRule type="duplicateValues" dxfId="882" priority="538"/>
    <cfRule type="duplicateValues" dxfId="881" priority="537"/>
    <cfRule type="duplicateValues" dxfId="880" priority="536"/>
    <cfRule type="duplicateValues" dxfId="879" priority="535"/>
    <cfRule type="duplicateValues" dxfId="878" priority="534"/>
    <cfRule type="duplicateValues" dxfId="877" priority="533"/>
    <cfRule type="duplicateValues" dxfId="876" priority="532"/>
    <cfRule type="duplicateValues" dxfId="875" priority="530"/>
    <cfRule type="duplicateValues" dxfId="874" priority="529"/>
    <cfRule type="duplicateValues" dxfId="873" priority="528"/>
    <cfRule type="duplicateValues" dxfId="872" priority="527"/>
    <cfRule type="duplicateValues" dxfId="871" priority="526"/>
    <cfRule type="duplicateValues" dxfId="870" priority="525"/>
    <cfRule type="duplicateValues" dxfId="869" priority="524"/>
    <cfRule type="duplicateValues" dxfId="868" priority="523"/>
    <cfRule type="duplicateValues" dxfId="867" priority="522"/>
    <cfRule type="duplicateValues" dxfId="866" priority="521"/>
    <cfRule type="duplicateValues" dxfId="865" priority="520"/>
  </conditionalFormatting>
  <conditionalFormatting sqref="F10">
    <cfRule type="duplicateValues" dxfId="864" priority="690"/>
    <cfRule type="duplicateValues" dxfId="863" priority="651"/>
    <cfRule type="duplicateValues" dxfId="862" priority="604"/>
    <cfRule type="duplicateValues" dxfId="861" priority="603"/>
    <cfRule type="duplicateValues" dxfId="860" priority="602"/>
    <cfRule type="duplicateValues" dxfId="859" priority="601"/>
    <cfRule type="duplicateValues" dxfId="858" priority="600"/>
    <cfRule type="duplicateValues" dxfId="857" priority="648"/>
    <cfRule type="duplicateValues" dxfId="856" priority="578"/>
    <cfRule type="duplicateValues" dxfId="855" priority="696"/>
  </conditionalFormatting>
  <conditionalFormatting sqref="F11">
    <cfRule type="duplicateValues" dxfId="854" priority="354"/>
    <cfRule type="duplicateValues" dxfId="853" priority="371"/>
    <cfRule type="duplicateValues" dxfId="852" priority="370"/>
    <cfRule type="duplicateValues" dxfId="851" priority="369"/>
    <cfRule type="duplicateValues" dxfId="850" priority="368"/>
    <cfRule type="duplicateValues" dxfId="849" priority="367"/>
    <cfRule type="duplicateValues" dxfId="848" priority="366"/>
    <cfRule type="duplicateValues" dxfId="847" priority="365"/>
    <cfRule type="duplicateValues" dxfId="846" priority="364"/>
    <cfRule type="duplicateValues" dxfId="845" priority="363"/>
    <cfRule type="duplicateValues" dxfId="844" priority="362"/>
    <cfRule type="duplicateValues" dxfId="843" priority="360"/>
    <cfRule type="duplicateValues" dxfId="842" priority="346"/>
    <cfRule type="duplicateValues" dxfId="841" priority="347"/>
    <cfRule type="duplicateValues" dxfId="840" priority="348"/>
    <cfRule type="duplicateValues" dxfId="839" priority="349"/>
    <cfRule type="duplicateValues" dxfId="838" priority="350"/>
    <cfRule type="duplicateValues" dxfId="837" priority="351"/>
    <cfRule type="duplicateValues" dxfId="836" priority="352"/>
    <cfRule type="duplicateValues" dxfId="835" priority="353"/>
    <cfRule type="duplicateValues" dxfId="834" priority="355"/>
    <cfRule type="duplicateValues" dxfId="833" priority="356"/>
    <cfRule type="duplicateValues" dxfId="832" priority="357"/>
    <cfRule type="duplicateValues" dxfId="831" priority="358"/>
    <cfRule type="duplicateValues" dxfId="830" priority="359"/>
    <cfRule type="duplicateValues" dxfId="829" priority="695"/>
    <cfRule type="duplicateValues" dxfId="828" priority="689"/>
    <cfRule type="duplicateValues" dxfId="827" priority="519"/>
    <cfRule type="duplicateValues" dxfId="826" priority="516"/>
    <cfRule type="duplicateValues" dxfId="825" priority="508"/>
    <cfRule type="duplicateValues" dxfId="824" priority="494"/>
    <cfRule type="duplicateValues" dxfId="823" priority="493"/>
    <cfRule type="duplicateValues" dxfId="822" priority="492"/>
    <cfRule type="duplicateValues" dxfId="821" priority="488"/>
    <cfRule type="duplicateValues" dxfId="820" priority="487"/>
    <cfRule type="duplicateValues" dxfId="819" priority="486"/>
    <cfRule type="duplicateValues" dxfId="818" priority="485"/>
    <cfRule type="duplicateValues" dxfId="817" priority="484"/>
    <cfRule type="duplicateValues" dxfId="816" priority="483"/>
    <cfRule type="duplicateValues" dxfId="815" priority="482"/>
    <cfRule type="duplicateValues" dxfId="814" priority="481"/>
    <cfRule type="duplicateValues" dxfId="813" priority="480"/>
    <cfRule type="duplicateValues" dxfId="812" priority="361"/>
    <cfRule type="duplicateValues" dxfId="811" priority="450"/>
    <cfRule type="duplicateValues" dxfId="810" priority="449"/>
    <cfRule type="duplicateValues" dxfId="809" priority="448"/>
    <cfRule type="duplicateValues" dxfId="808" priority="447"/>
    <cfRule type="duplicateValues" dxfId="807" priority="446"/>
  </conditionalFormatting>
  <conditionalFormatting sqref="F12">
    <cfRule type="duplicateValues" dxfId="806" priority="505"/>
    <cfRule type="duplicateValues" dxfId="805" priority="518"/>
    <cfRule type="duplicateValues" dxfId="804" priority="445"/>
    <cfRule type="duplicateValues" dxfId="803" priority="444"/>
    <cfRule type="duplicateValues" dxfId="802" priority="443"/>
    <cfRule type="duplicateValues" dxfId="801" priority="441"/>
    <cfRule type="duplicateValues" dxfId="800" priority="512"/>
    <cfRule type="duplicateValues" dxfId="799" priority="424"/>
    <cfRule type="duplicateValues" dxfId="798" priority="429"/>
    <cfRule type="duplicateValues" dxfId="797" priority="427"/>
    <cfRule type="duplicateValues" dxfId="796" priority="428"/>
    <cfRule type="duplicateValues" dxfId="795" priority="426"/>
    <cfRule type="duplicateValues" dxfId="794" priority="425"/>
    <cfRule type="duplicateValues" dxfId="793" priority="500"/>
    <cfRule type="duplicateValues" dxfId="792" priority="499"/>
    <cfRule type="duplicateValues" dxfId="791" priority="498"/>
    <cfRule type="duplicateValues" dxfId="790" priority="497"/>
    <cfRule type="duplicateValues" dxfId="789" priority="496"/>
    <cfRule type="duplicateValues" dxfId="788" priority="495"/>
    <cfRule type="duplicateValues" dxfId="787" priority="694"/>
    <cfRule type="duplicateValues" dxfId="786" priority="423"/>
    <cfRule type="duplicateValues" dxfId="785" priority="422"/>
    <cfRule type="duplicateValues" dxfId="784" priority="421"/>
    <cfRule type="duplicateValues" dxfId="783" priority="420"/>
    <cfRule type="duplicateValues" dxfId="782" priority="419"/>
    <cfRule type="duplicateValues" dxfId="781" priority="442"/>
    <cfRule type="duplicateValues" dxfId="780" priority="418"/>
  </conditionalFormatting>
  <conditionalFormatting sqref="F13">
    <cfRule type="duplicateValues" dxfId="779" priority="517"/>
    <cfRule type="duplicateValues" dxfId="778" priority="479"/>
    <cfRule type="duplicateValues" dxfId="777" priority="478"/>
    <cfRule type="duplicateValues" dxfId="776" priority="511"/>
    <cfRule type="duplicateValues" dxfId="775" priority="477"/>
    <cfRule type="duplicateValues" dxfId="774" priority="504"/>
    <cfRule type="duplicateValues" dxfId="773" priority="476"/>
    <cfRule type="duplicateValues" dxfId="772" priority="473"/>
    <cfRule type="duplicateValues" dxfId="771" priority="474"/>
    <cfRule type="duplicateValues" dxfId="770" priority="439"/>
    <cfRule type="duplicateValues" dxfId="769" priority="438"/>
    <cfRule type="duplicateValues" dxfId="768" priority="472"/>
    <cfRule type="duplicateValues" dxfId="767" priority="475"/>
    <cfRule type="duplicateValues" dxfId="766" priority="471"/>
    <cfRule type="duplicateValues" dxfId="765" priority="440"/>
  </conditionalFormatting>
  <conditionalFormatting sqref="F14">
    <cfRule type="duplicateValues" dxfId="764" priority="515"/>
    <cfRule type="duplicateValues" dxfId="763" priority="507"/>
    <cfRule type="duplicateValues" dxfId="762" priority="491"/>
    <cfRule type="duplicateValues" dxfId="761" priority="490"/>
    <cfRule type="duplicateValues" dxfId="760" priority="489"/>
    <cfRule type="duplicateValues" dxfId="759" priority="437"/>
    <cfRule type="duplicateValues" dxfId="758" priority="435"/>
    <cfRule type="duplicateValues" dxfId="757" priority="436"/>
  </conditionalFormatting>
  <conditionalFormatting sqref="F15">
    <cfRule type="duplicateValues" dxfId="756" priority="464"/>
    <cfRule type="duplicateValues" dxfId="755" priority="463"/>
    <cfRule type="duplicateValues" dxfId="754" priority="462"/>
    <cfRule type="duplicateValues" dxfId="753" priority="402"/>
    <cfRule type="duplicateValues" dxfId="752" priority="403"/>
    <cfRule type="duplicateValues" dxfId="751" priority="404"/>
    <cfRule type="duplicateValues" dxfId="750" priority="405"/>
    <cfRule type="duplicateValues" dxfId="749" priority="406"/>
    <cfRule type="duplicateValues" dxfId="748" priority="409"/>
    <cfRule type="duplicateValues" dxfId="747" priority="503"/>
    <cfRule type="duplicateValues" dxfId="746" priority="410"/>
    <cfRule type="duplicateValues" dxfId="745" priority="411"/>
    <cfRule type="duplicateValues" dxfId="744" priority="412"/>
    <cfRule type="duplicateValues" dxfId="743" priority="413"/>
    <cfRule type="duplicateValues" dxfId="742" priority="414"/>
    <cfRule type="duplicateValues" dxfId="741" priority="415"/>
    <cfRule type="duplicateValues" dxfId="740" priority="416"/>
    <cfRule type="duplicateValues" dxfId="739" priority="417"/>
    <cfRule type="duplicateValues" dxfId="738" priority="399"/>
    <cfRule type="duplicateValues" dxfId="737" priority="431"/>
    <cfRule type="duplicateValues" dxfId="736" priority="400"/>
    <cfRule type="duplicateValues" dxfId="735" priority="398"/>
    <cfRule type="duplicateValues" dxfId="734" priority="401"/>
    <cfRule type="duplicateValues" dxfId="733" priority="407"/>
    <cfRule type="duplicateValues" dxfId="732" priority="408"/>
    <cfRule type="duplicateValues" dxfId="731" priority="514"/>
    <cfRule type="duplicateValues" dxfId="730" priority="470"/>
    <cfRule type="duplicateValues" dxfId="729" priority="469"/>
    <cfRule type="duplicateValues" dxfId="728" priority="468"/>
    <cfRule type="duplicateValues" dxfId="727" priority="467"/>
    <cfRule type="duplicateValues" dxfId="726" priority="466"/>
    <cfRule type="duplicateValues" dxfId="725" priority="465"/>
  </conditionalFormatting>
  <conditionalFormatting sqref="F16">
    <cfRule type="duplicateValues" dxfId="724" priority="391"/>
    <cfRule type="duplicateValues" dxfId="723" priority="392"/>
    <cfRule type="duplicateValues" dxfId="722" priority="393"/>
    <cfRule type="duplicateValues" dxfId="721" priority="394"/>
    <cfRule type="duplicateValues" dxfId="720" priority="395"/>
    <cfRule type="duplicateValues" dxfId="719" priority="396"/>
    <cfRule type="duplicateValues" dxfId="718" priority="397"/>
    <cfRule type="duplicateValues" dxfId="717" priority="432"/>
    <cfRule type="duplicateValues" dxfId="716" priority="433"/>
    <cfRule type="duplicateValues" dxfId="715" priority="434"/>
    <cfRule type="duplicateValues" dxfId="714" priority="502"/>
    <cfRule type="duplicateValues" dxfId="713" priority="513"/>
    <cfRule type="duplicateValues" dxfId="712" priority="345"/>
    <cfRule type="duplicateValues" dxfId="711" priority="451"/>
    <cfRule type="duplicateValues" dxfId="710" priority="372"/>
    <cfRule type="duplicateValues" dxfId="709" priority="373"/>
    <cfRule type="duplicateValues" dxfId="708" priority="374"/>
    <cfRule type="duplicateValues" dxfId="707" priority="375"/>
    <cfRule type="duplicateValues" dxfId="706" priority="376"/>
    <cfRule type="duplicateValues" dxfId="705" priority="377"/>
    <cfRule type="duplicateValues" dxfId="704" priority="378"/>
    <cfRule type="duplicateValues" dxfId="703" priority="379"/>
    <cfRule type="duplicateValues" dxfId="702" priority="380"/>
    <cfRule type="duplicateValues" dxfId="701" priority="381"/>
    <cfRule type="duplicateValues" dxfId="700" priority="382"/>
    <cfRule type="duplicateValues" dxfId="699" priority="383"/>
    <cfRule type="duplicateValues" dxfId="698" priority="384"/>
    <cfRule type="duplicateValues" dxfId="697" priority="385"/>
    <cfRule type="duplicateValues" dxfId="696" priority="386"/>
    <cfRule type="duplicateValues" dxfId="695" priority="387"/>
    <cfRule type="duplicateValues" dxfId="694" priority="388"/>
    <cfRule type="duplicateValues" dxfId="693" priority="389"/>
    <cfRule type="duplicateValues" dxfId="692" priority="390"/>
  </conditionalFormatting>
  <conditionalFormatting sqref="F17">
    <cfRule type="duplicateValues" dxfId="691" priority="458"/>
    <cfRule type="duplicateValues" dxfId="690" priority="459"/>
    <cfRule type="duplicateValues" dxfId="689" priority="460"/>
    <cfRule type="duplicateValues" dxfId="688" priority="461"/>
    <cfRule type="duplicateValues" dxfId="687" priority="506"/>
    <cfRule type="duplicateValues" dxfId="686" priority="510"/>
    <cfRule type="duplicateValues" dxfId="685" priority="430"/>
    <cfRule type="duplicateValues" dxfId="684" priority="457"/>
  </conditionalFormatting>
  <conditionalFormatting sqref="F18">
    <cfRule type="duplicateValues" dxfId="683" priority="453"/>
    <cfRule type="duplicateValues" dxfId="682" priority="452"/>
    <cfRule type="duplicateValues" dxfId="681" priority="456"/>
    <cfRule type="duplicateValues" dxfId="680" priority="455"/>
    <cfRule type="duplicateValues" dxfId="679" priority="454"/>
    <cfRule type="duplicateValues" dxfId="678" priority="509"/>
    <cfRule type="duplicateValues" dxfId="677" priority="501"/>
  </conditionalFormatting>
  <conditionalFormatting sqref="F19">
    <cfRule type="duplicateValues" dxfId="676" priority="181"/>
    <cfRule type="duplicateValues" dxfId="675" priority="185"/>
    <cfRule type="duplicateValues" dxfId="674" priority="186"/>
    <cfRule type="duplicateValues" dxfId="673" priority="187"/>
    <cfRule type="duplicateValues" dxfId="672" priority="282"/>
    <cfRule type="duplicateValues" dxfId="671" priority="281"/>
    <cfRule type="duplicateValues" dxfId="670" priority="280"/>
    <cfRule type="duplicateValues" dxfId="669" priority="279"/>
    <cfRule type="duplicateValues" dxfId="668" priority="278"/>
    <cfRule type="duplicateValues" dxfId="667" priority="314"/>
    <cfRule type="duplicateValues" dxfId="666" priority="313"/>
    <cfRule type="duplicateValues" dxfId="665" priority="312"/>
    <cfRule type="duplicateValues" dxfId="664" priority="311"/>
    <cfRule type="duplicateValues" dxfId="663" priority="310"/>
    <cfRule type="duplicateValues" dxfId="662" priority="309"/>
    <cfRule type="duplicateValues" dxfId="661" priority="308"/>
    <cfRule type="duplicateValues" dxfId="660" priority="307"/>
    <cfRule type="duplicateValues" dxfId="659" priority="180"/>
    <cfRule type="duplicateValues" dxfId="658" priority="188"/>
    <cfRule type="duplicateValues" dxfId="657" priority="189"/>
    <cfRule type="duplicateValues" dxfId="656" priority="190"/>
    <cfRule type="duplicateValues" dxfId="655" priority="200"/>
    <cfRule type="duplicateValues" dxfId="654" priority="191"/>
    <cfRule type="duplicateValues" dxfId="653" priority="201"/>
    <cfRule type="duplicateValues" dxfId="652" priority="202"/>
    <cfRule type="duplicateValues" dxfId="651" priority="203"/>
    <cfRule type="duplicateValues" dxfId="650" priority="199"/>
    <cfRule type="duplicateValues" dxfId="649" priority="193"/>
    <cfRule type="duplicateValues" dxfId="648" priority="194"/>
    <cfRule type="duplicateValues" dxfId="647" priority="182"/>
    <cfRule type="duplicateValues" dxfId="646" priority="183"/>
    <cfRule type="duplicateValues" dxfId="645" priority="184"/>
    <cfRule type="duplicateValues" dxfId="644" priority="195"/>
    <cfRule type="duplicateValues" dxfId="643" priority="196"/>
    <cfRule type="duplicateValues" dxfId="642" priority="197"/>
    <cfRule type="duplicateValues" dxfId="641" priority="198"/>
    <cfRule type="duplicateValues" dxfId="640" priority="341"/>
    <cfRule type="duplicateValues" dxfId="639" priority="192"/>
    <cfRule type="duplicateValues" dxfId="638" priority="334"/>
    <cfRule type="duplicateValues" dxfId="637" priority="178"/>
    <cfRule type="duplicateValues" dxfId="636" priority="344"/>
    <cfRule type="duplicateValues" dxfId="635" priority="179"/>
    <cfRule type="duplicateValues" dxfId="634" priority="321"/>
    <cfRule type="duplicateValues" dxfId="633" priority="320"/>
    <cfRule type="duplicateValues" dxfId="632" priority="319"/>
    <cfRule type="duplicateValues" dxfId="631" priority="315"/>
  </conditionalFormatting>
  <conditionalFormatting sqref="F20">
    <cfRule type="duplicateValues" dxfId="630" priority="276"/>
    <cfRule type="duplicateValues" dxfId="629" priority="275"/>
    <cfRule type="duplicateValues" dxfId="628" priority="274"/>
    <cfRule type="duplicateValues" dxfId="627" priority="273"/>
    <cfRule type="duplicateValues" dxfId="626" priority="322"/>
    <cfRule type="duplicateValues" dxfId="625" priority="327"/>
    <cfRule type="duplicateValues" dxfId="624" priority="259"/>
    <cfRule type="duplicateValues" dxfId="623" priority="326"/>
    <cfRule type="duplicateValues" dxfId="622" priority="325"/>
    <cfRule type="duplicateValues" dxfId="621" priority="277"/>
    <cfRule type="duplicateValues" dxfId="620" priority="261"/>
    <cfRule type="duplicateValues" dxfId="619" priority="260"/>
    <cfRule type="duplicateValues" dxfId="618" priority="343"/>
    <cfRule type="duplicateValues" dxfId="617" priority="258"/>
    <cfRule type="duplicateValues" dxfId="616" priority="257"/>
    <cfRule type="duplicateValues" dxfId="615" priority="256"/>
    <cfRule type="duplicateValues" dxfId="614" priority="255"/>
    <cfRule type="duplicateValues" dxfId="613" priority="254"/>
    <cfRule type="duplicateValues" dxfId="612" priority="253"/>
    <cfRule type="duplicateValues" dxfId="611" priority="250"/>
    <cfRule type="duplicateValues" dxfId="610" priority="251"/>
    <cfRule type="duplicateValues" dxfId="609" priority="252"/>
    <cfRule type="duplicateValues" dxfId="608" priority="331"/>
    <cfRule type="duplicateValues" dxfId="607" priority="324"/>
    <cfRule type="duplicateValues" dxfId="606" priority="337"/>
    <cfRule type="duplicateValues" dxfId="605" priority="323"/>
  </conditionalFormatting>
  <conditionalFormatting sqref="F21">
    <cfRule type="duplicateValues" dxfId="604" priority="272"/>
    <cfRule type="duplicateValues" dxfId="603" priority="270"/>
    <cfRule type="duplicateValues" dxfId="602" priority="304"/>
    <cfRule type="duplicateValues" dxfId="601" priority="303"/>
    <cfRule type="duplicateValues" dxfId="600" priority="330"/>
    <cfRule type="duplicateValues" dxfId="599" priority="299"/>
    <cfRule type="duplicateValues" dxfId="598" priority="298"/>
    <cfRule type="duplicateValues" dxfId="597" priority="271"/>
    <cfRule type="duplicateValues" dxfId="596" priority="306"/>
    <cfRule type="duplicateValues" dxfId="595" priority="305"/>
    <cfRule type="duplicateValues" dxfId="594" priority="302"/>
    <cfRule type="duplicateValues" dxfId="593" priority="342"/>
    <cfRule type="duplicateValues" dxfId="592" priority="336"/>
    <cfRule type="duplicateValues" dxfId="591" priority="301"/>
    <cfRule type="duplicateValues" dxfId="590" priority="300"/>
  </conditionalFormatting>
  <conditionalFormatting sqref="F22">
    <cfRule type="duplicateValues" dxfId="589" priority="268"/>
    <cfRule type="duplicateValues" dxfId="588" priority="267"/>
    <cfRule type="duplicateValues" dxfId="587" priority="269"/>
    <cfRule type="duplicateValues" dxfId="586" priority="318"/>
    <cfRule type="duplicateValues" dxfId="585" priority="317"/>
    <cfRule type="duplicateValues" dxfId="584" priority="316"/>
    <cfRule type="duplicateValues" dxfId="583" priority="333"/>
    <cfRule type="duplicateValues" dxfId="582" priority="340"/>
  </conditionalFormatting>
  <conditionalFormatting sqref="F23">
    <cfRule type="duplicateValues" dxfId="581" priority="173"/>
    <cfRule type="duplicateValues" dxfId="580" priority="171"/>
    <cfRule type="duplicateValues" dxfId="579" priority="170"/>
    <cfRule type="duplicateValues" dxfId="578" priority="169"/>
    <cfRule type="duplicateValues" dxfId="577" priority="339"/>
    <cfRule type="duplicateValues" dxfId="576" priority="329"/>
    <cfRule type="duplicateValues" dxfId="575" priority="297"/>
    <cfRule type="duplicateValues" dxfId="574" priority="296"/>
    <cfRule type="duplicateValues" dxfId="573" priority="295"/>
    <cfRule type="duplicateValues" dxfId="572" priority="294"/>
    <cfRule type="duplicateValues" dxfId="571" priority="293"/>
    <cfRule type="duplicateValues" dxfId="570" priority="292"/>
    <cfRule type="duplicateValues" dxfId="569" priority="291"/>
    <cfRule type="duplicateValues" dxfId="568" priority="290"/>
    <cfRule type="duplicateValues" dxfId="567" priority="289"/>
    <cfRule type="duplicateValues" dxfId="566" priority="263"/>
    <cfRule type="duplicateValues" dxfId="565" priority="249"/>
    <cfRule type="duplicateValues" dxfId="564" priority="248"/>
    <cfRule type="duplicateValues" dxfId="563" priority="247"/>
    <cfRule type="duplicateValues" dxfId="562" priority="246"/>
    <cfRule type="duplicateValues" dxfId="561" priority="245"/>
    <cfRule type="duplicateValues" dxfId="560" priority="244"/>
    <cfRule type="duplicateValues" dxfId="559" priority="243"/>
    <cfRule type="duplicateValues" dxfId="558" priority="242"/>
    <cfRule type="duplicateValues" dxfId="557" priority="241"/>
    <cfRule type="duplicateValues" dxfId="556" priority="240"/>
    <cfRule type="duplicateValues" dxfId="555" priority="239"/>
    <cfRule type="duplicateValues" dxfId="554" priority="238"/>
    <cfRule type="duplicateValues" dxfId="553" priority="237"/>
    <cfRule type="duplicateValues" dxfId="552" priority="236"/>
    <cfRule type="duplicateValues" dxfId="551" priority="235"/>
    <cfRule type="duplicateValues" dxfId="550" priority="234"/>
    <cfRule type="duplicateValues" dxfId="549" priority="233"/>
    <cfRule type="duplicateValues" dxfId="548" priority="232"/>
    <cfRule type="duplicateValues" dxfId="547" priority="231"/>
    <cfRule type="duplicateValues" dxfId="546" priority="230"/>
    <cfRule type="duplicateValues" dxfId="545" priority="172"/>
    <cfRule type="duplicateValues" dxfId="544" priority="176"/>
    <cfRule type="duplicateValues" dxfId="543" priority="175"/>
    <cfRule type="duplicateValues" dxfId="542" priority="174"/>
  </conditionalFormatting>
  <conditionalFormatting sqref="F24">
    <cfRule type="duplicateValues" dxfId="541" priority="222"/>
    <cfRule type="duplicateValues" dxfId="540" priority="225"/>
    <cfRule type="duplicateValues" dxfId="539" priority="226"/>
    <cfRule type="duplicateValues" dxfId="538" priority="227"/>
    <cfRule type="duplicateValues" dxfId="537" priority="215"/>
    <cfRule type="duplicateValues" dxfId="536" priority="328"/>
    <cfRule type="duplicateValues" dxfId="535" priority="338"/>
    <cfRule type="duplicateValues" dxfId="534" priority="214"/>
    <cfRule type="duplicateValues" dxfId="533" priority="218"/>
    <cfRule type="duplicateValues" dxfId="532" priority="213"/>
    <cfRule type="duplicateValues" dxfId="531" priority="212"/>
    <cfRule type="duplicateValues" dxfId="530" priority="283"/>
    <cfRule type="duplicateValues" dxfId="529" priority="266"/>
    <cfRule type="duplicateValues" dxfId="528" priority="265"/>
    <cfRule type="duplicateValues" dxfId="527" priority="228"/>
    <cfRule type="duplicateValues" dxfId="526" priority="229"/>
    <cfRule type="duplicateValues" dxfId="525" priority="264"/>
    <cfRule type="duplicateValues" dxfId="524" priority="211"/>
    <cfRule type="duplicateValues" dxfId="523" priority="210"/>
    <cfRule type="duplicateValues" dxfId="522" priority="209"/>
    <cfRule type="duplicateValues" dxfId="521" priority="208"/>
    <cfRule type="duplicateValues" dxfId="520" priority="207"/>
    <cfRule type="duplicateValues" dxfId="519" priority="206"/>
    <cfRule type="duplicateValues" dxfId="518" priority="205"/>
    <cfRule type="duplicateValues" dxfId="517" priority="204"/>
    <cfRule type="duplicateValues" dxfId="516" priority="219"/>
    <cfRule type="duplicateValues" dxfId="515" priority="220"/>
    <cfRule type="duplicateValues" dxfId="514" priority="221"/>
    <cfRule type="duplicateValues" dxfId="513" priority="223"/>
    <cfRule type="duplicateValues" dxfId="512" priority="224"/>
    <cfRule type="duplicateValues" dxfId="511" priority="177"/>
    <cfRule type="duplicateValues" dxfId="510" priority="217"/>
    <cfRule type="duplicateValues" dxfId="509" priority="216"/>
  </conditionalFormatting>
  <conditionalFormatting sqref="F25">
    <cfRule type="duplicateValues" dxfId="508" priority="287"/>
    <cfRule type="duplicateValues" dxfId="507" priority="288"/>
    <cfRule type="duplicateValues" dxfId="506" priority="286"/>
    <cfRule type="duplicateValues" dxfId="505" priority="285"/>
    <cfRule type="duplicateValues" dxfId="504" priority="284"/>
    <cfRule type="duplicateValues" dxfId="503" priority="335"/>
    <cfRule type="duplicateValues" dxfId="502" priority="332"/>
    <cfRule type="duplicateValues" dxfId="501" priority="262"/>
  </conditionalFormatting>
  <conditionalFormatting sqref="F26">
    <cfRule type="duplicateValues" dxfId="500" priority="16"/>
    <cfRule type="duplicateValues" dxfId="499" priority="17"/>
    <cfRule type="duplicateValues" dxfId="498" priority="19"/>
    <cfRule type="duplicateValues" dxfId="497" priority="20"/>
    <cfRule type="duplicateValues" dxfId="496" priority="21"/>
    <cfRule type="duplicateValues" dxfId="495" priority="22"/>
    <cfRule type="duplicateValues" dxfId="494" priority="23"/>
    <cfRule type="duplicateValues" dxfId="493" priority="24"/>
    <cfRule type="duplicateValues" dxfId="492" priority="25"/>
    <cfRule type="duplicateValues" dxfId="491" priority="26"/>
    <cfRule type="duplicateValues" dxfId="490" priority="27"/>
    <cfRule type="duplicateValues" dxfId="489" priority="28"/>
    <cfRule type="duplicateValues" dxfId="488" priority="29"/>
    <cfRule type="duplicateValues" dxfId="487" priority="30"/>
    <cfRule type="duplicateValues" dxfId="486" priority="31"/>
    <cfRule type="duplicateValues" dxfId="485" priority="32"/>
    <cfRule type="duplicateValues" dxfId="484" priority="33"/>
    <cfRule type="duplicateValues" dxfId="483" priority="34"/>
    <cfRule type="duplicateValues" dxfId="482" priority="35"/>
    <cfRule type="duplicateValues" dxfId="481" priority="133"/>
    <cfRule type="duplicateValues" dxfId="480" priority="134"/>
    <cfRule type="duplicateValues" dxfId="479" priority="135"/>
    <cfRule type="duplicateValues" dxfId="478" priority="136"/>
    <cfRule type="duplicateValues" dxfId="477" priority="18"/>
    <cfRule type="duplicateValues" dxfId="476" priority="137"/>
    <cfRule type="duplicateValues" dxfId="475" priority="110"/>
    <cfRule type="duplicateValues" dxfId="474" priority="111"/>
    <cfRule type="duplicateValues" dxfId="473" priority="112"/>
    <cfRule type="duplicateValues" dxfId="472" priority="113"/>
    <cfRule type="duplicateValues" dxfId="471" priority="10"/>
    <cfRule type="duplicateValues" dxfId="470" priority="11"/>
    <cfRule type="duplicateValues" dxfId="469" priority="12"/>
    <cfRule type="duplicateValues" dxfId="468" priority="13"/>
    <cfRule type="duplicateValues" dxfId="467" priority="14"/>
    <cfRule type="duplicateValues" dxfId="466" priority="15"/>
    <cfRule type="duplicateValues" dxfId="465" priority="168"/>
    <cfRule type="duplicateValues" dxfId="464" priority="165"/>
    <cfRule type="duplicateValues" dxfId="463" priority="146"/>
    <cfRule type="duplicateValues" dxfId="462" priority="138"/>
    <cfRule type="duplicateValues" dxfId="461" priority="139"/>
    <cfRule type="duplicateValues" dxfId="460" priority="159"/>
    <cfRule type="duplicateValues" dxfId="459" priority="145"/>
    <cfRule type="duplicateValues" dxfId="458" priority="140"/>
    <cfRule type="duplicateValues" dxfId="457" priority="141"/>
    <cfRule type="duplicateValues" dxfId="456" priority="147"/>
    <cfRule type="duplicateValues" dxfId="455" priority="109"/>
  </conditionalFormatting>
  <conditionalFormatting sqref="F27">
    <cfRule type="duplicateValues" dxfId="454" priority="167"/>
    <cfRule type="duplicateValues" dxfId="453" priority="93"/>
    <cfRule type="duplicateValues" dxfId="452" priority="92"/>
    <cfRule type="duplicateValues" dxfId="451" priority="90"/>
    <cfRule type="duplicateValues" dxfId="450" priority="89"/>
    <cfRule type="duplicateValues" dxfId="449" priority="88"/>
    <cfRule type="duplicateValues" dxfId="448" priority="161"/>
    <cfRule type="duplicateValues" dxfId="447" priority="87"/>
    <cfRule type="duplicateValues" dxfId="446" priority="86"/>
    <cfRule type="duplicateValues" dxfId="445" priority="85"/>
    <cfRule type="duplicateValues" dxfId="444" priority="157"/>
    <cfRule type="duplicateValues" dxfId="443" priority="84"/>
    <cfRule type="duplicateValues" dxfId="442" priority="83"/>
    <cfRule type="duplicateValues" dxfId="441" priority="82"/>
    <cfRule type="duplicateValues" dxfId="440" priority="153"/>
    <cfRule type="duplicateValues" dxfId="439" priority="152"/>
    <cfRule type="duplicateValues" dxfId="438" priority="151"/>
    <cfRule type="duplicateValues" dxfId="437" priority="150"/>
    <cfRule type="duplicateValues" dxfId="436" priority="149"/>
    <cfRule type="duplicateValues" dxfId="435" priority="148"/>
    <cfRule type="duplicateValues" dxfId="434" priority="91"/>
    <cfRule type="duplicateValues" dxfId="433" priority="108"/>
    <cfRule type="duplicateValues" dxfId="432" priority="107"/>
    <cfRule type="duplicateValues" dxfId="431" priority="106"/>
    <cfRule type="duplicateValues" dxfId="430" priority="105"/>
    <cfRule type="duplicateValues" dxfId="429" priority="104"/>
  </conditionalFormatting>
  <conditionalFormatting sqref="F28">
    <cfRule type="duplicateValues" dxfId="428" priority="166"/>
    <cfRule type="duplicateValues" dxfId="427" priority="130"/>
    <cfRule type="duplicateValues" dxfId="426" priority="129"/>
    <cfRule type="duplicateValues" dxfId="425" priority="128"/>
    <cfRule type="duplicateValues" dxfId="424" priority="127"/>
    <cfRule type="duplicateValues" dxfId="423" priority="160"/>
    <cfRule type="duplicateValues" dxfId="422" priority="126"/>
    <cfRule type="duplicateValues" dxfId="421" priority="125"/>
    <cfRule type="duplicateValues" dxfId="420" priority="156"/>
    <cfRule type="duplicateValues" dxfId="419" priority="132"/>
    <cfRule type="duplicateValues" dxfId="418" priority="124"/>
    <cfRule type="duplicateValues" dxfId="417" priority="101"/>
    <cfRule type="duplicateValues" dxfId="416" priority="131"/>
    <cfRule type="duplicateValues" dxfId="415" priority="103"/>
    <cfRule type="duplicateValues" dxfId="414" priority="102"/>
  </conditionalFormatting>
  <conditionalFormatting sqref="F29">
    <cfRule type="duplicateValues" dxfId="413" priority="144"/>
    <cfRule type="duplicateValues" dxfId="412" priority="143"/>
    <cfRule type="duplicateValues" dxfId="411" priority="100"/>
    <cfRule type="duplicateValues" dxfId="410" priority="99"/>
    <cfRule type="duplicateValues" dxfId="409" priority="98"/>
    <cfRule type="duplicateValues" dxfId="408" priority="142"/>
    <cfRule type="duplicateValues" dxfId="407" priority="164"/>
    <cfRule type="duplicateValues" dxfId="406" priority="158"/>
  </conditionalFormatting>
  <conditionalFormatting sqref="F30">
    <cfRule type="duplicateValues" dxfId="405" priority="119"/>
    <cfRule type="duplicateValues" dxfId="404" priority="118"/>
    <cfRule type="duplicateValues" dxfId="403" priority="117"/>
    <cfRule type="duplicateValues" dxfId="402" priority="116"/>
    <cfRule type="duplicateValues" dxfId="401" priority="115"/>
    <cfRule type="duplicateValues" dxfId="400" priority="79"/>
    <cfRule type="duplicateValues" dxfId="399" priority="6"/>
    <cfRule type="duplicateValues" dxfId="398" priority="5"/>
    <cfRule type="duplicateValues" dxfId="397" priority="4"/>
    <cfRule type="duplicateValues" dxfId="396" priority="3"/>
    <cfRule type="duplicateValues" dxfId="395" priority="75"/>
    <cfRule type="duplicateValues" dxfId="394" priority="155"/>
    <cfRule type="duplicateValues" dxfId="393" priority="78"/>
    <cfRule type="duplicateValues" dxfId="392" priority="163"/>
    <cfRule type="duplicateValues" dxfId="391" priority="1"/>
    <cfRule type="duplicateValues" dxfId="390" priority="2"/>
    <cfRule type="duplicateValues" dxfId="389" priority="77"/>
    <cfRule type="duplicateValues" dxfId="388" priority="76"/>
    <cfRule type="duplicateValues" dxfId="387" priority="8"/>
    <cfRule type="duplicateValues" dxfId="386" priority="123"/>
    <cfRule type="duplicateValues" dxfId="385" priority="7"/>
    <cfRule type="duplicateValues" dxfId="384" priority="122"/>
    <cfRule type="duplicateValues" dxfId="383" priority="121"/>
    <cfRule type="duplicateValues" dxfId="382" priority="120"/>
    <cfRule type="duplicateValues" dxfId="381" priority="81"/>
    <cfRule type="duplicateValues" dxfId="380" priority="94"/>
    <cfRule type="duplicateValues" dxfId="379" priority="80"/>
    <cfRule type="duplicateValues" dxfId="378" priority="74"/>
    <cfRule type="duplicateValues" dxfId="377" priority="73"/>
    <cfRule type="duplicateValues" dxfId="376" priority="72"/>
    <cfRule type="duplicateValues" dxfId="375" priority="71"/>
    <cfRule type="duplicateValues" dxfId="374" priority="70"/>
    <cfRule type="duplicateValues" dxfId="373" priority="69"/>
    <cfRule type="duplicateValues" dxfId="372" priority="68"/>
    <cfRule type="duplicateValues" dxfId="371" priority="67"/>
    <cfRule type="duplicateValues" dxfId="370" priority="66"/>
    <cfRule type="duplicateValues" dxfId="369" priority="65"/>
    <cfRule type="duplicateValues" dxfId="368" priority="64"/>
    <cfRule type="duplicateValues" dxfId="367" priority="63"/>
    <cfRule type="duplicateValues" dxfId="366" priority="62"/>
  </conditionalFormatting>
  <conditionalFormatting sqref="F31">
    <cfRule type="duplicateValues" dxfId="365" priority="37"/>
    <cfRule type="duplicateValues" dxfId="364" priority="36"/>
    <cfRule type="duplicateValues" dxfId="363" priority="9"/>
    <cfRule type="duplicateValues" dxfId="362" priority="154"/>
    <cfRule type="duplicateValues" dxfId="361" priority="114"/>
    <cfRule type="duplicateValues" dxfId="360" priority="162"/>
    <cfRule type="duplicateValues" dxfId="359" priority="45"/>
    <cfRule type="duplicateValues" dxfId="358" priority="44"/>
    <cfRule type="duplicateValues" dxfId="357" priority="43"/>
    <cfRule type="duplicateValues" dxfId="356" priority="42"/>
    <cfRule type="duplicateValues" dxfId="355" priority="41"/>
    <cfRule type="duplicateValues" dxfId="354" priority="40"/>
    <cfRule type="duplicateValues" dxfId="353" priority="97"/>
    <cfRule type="duplicateValues" dxfId="352" priority="96"/>
    <cfRule type="duplicateValues" dxfId="351" priority="95"/>
    <cfRule type="duplicateValues" dxfId="350" priority="39"/>
    <cfRule type="duplicateValues" dxfId="349" priority="38"/>
    <cfRule type="duplicateValues" dxfId="348" priority="61"/>
    <cfRule type="duplicateValues" dxfId="347" priority="60"/>
    <cfRule type="duplicateValues" dxfId="346" priority="59"/>
    <cfRule type="duplicateValues" dxfId="345" priority="58"/>
    <cfRule type="duplicateValues" dxfId="344" priority="57"/>
    <cfRule type="duplicateValues" dxfId="343" priority="56"/>
    <cfRule type="duplicateValues" dxfId="342" priority="55"/>
    <cfRule type="duplicateValues" dxfId="341" priority="54"/>
    <cfRule type="duplicateValues" dxfId="340" priority="53"/>
    <cfRule type="duplicateValues" dxfId="339" priority="52"/>
    <cfRule type="duplicateValues" dxfId="338" priority="51"/>
    <cfRule type="duplicateValues" dxfId="337" priority="50"/>
    <cfRule type="duplicateValues" dxfId="336" priority="49"/>
    <cfRule type="duplicateValues" dxfId="335" priority="48"/>
    <cfRule type="duplicateValues" dxfId="334" priority="47"/>
    <cfRule type="duplicateValues" dxfId="333" priority="46"/>
  </conditionalFormatting>
  <conditionalFormatting sqref="L4:O265 D4:E265">
    <cfRule type="notContainsBlanks" dxfId="332" priority="719">
      <formula>LEN(TRIM(D4))&gt;0</formula>
    </cfRule>
  </conditionalFormatting>
  <conditionalFormatting sqref="M4:M265">
    <cfRule type="cellIs" dxfId="331" priority="718" operator="equal">
      <formula>1</formula>
    </cfRule>
  </conditionalFormatting>
  <conditionalFormatting sqref="P4:P265">
    <cfRule type="cellIs" dxfId="330" priority="707" operator="equal">
      <formula>"C"</formula>
    </cfRule>
    <cfRule type="cellIs" dxfId="329" priority="708" operator="equal">
      <formula>"B"</formula>
    </cfRule>
    <cfRule type="containsText" dxfId="328" priority="709" operator="containsText" text="A">
      <formula>NOT(ISERROR(SEARCH("A",P4)))</formula>
    </cfRule>
    <cfRule type="cellIs" dxfId="327" priority="706" operator="equal">
      <formula>"D"</formula>
    </cfRule>
    <cfRule type="containsBlanks" dxfId="326" priority="711">
      <formula>LEN(TRIM(P4))=0</formula>
    </cfRule>
    <cfRule type="notContainsBlanks" dxfId="325" priority="710">
      <formula>LEN(TRIM(P4))&gt;0</formula>
    </cfRule>
  </conditionalFormatting>
  <conditionalFormatting sqref="S44">
    <cfRule type="notContainsBlanks" dxfId="324" priority="712">
      <formula>LEN(TRIM(S44))&gt;0</formula>
    </cfRule>
    <cfRule type="containsBlanks" dxfId="323" priority="713">
      <formula>LEN(TRIM(S44))=0</formula>
    </cfRule>
  </conditionalFormatting>
  <conditionalFormatting sqref="S47:T52">
    <cfRule type="notContainsBlanks" dxfId="322" priority="714">
      <formula>LEN(TRIM(S47))&gt;0</formula>
    </cfRule>
    <cfRule type="containsBlanks" dxfId="321" priority="715">
      <formula>LEN(TRIM(S47))=0</formula>
    </cfRule>
  </conditionalFormatting>
  <conditionalFormatting sqref="U45">
    <cfRule type="containsBlanks" dxfId="320" priority="716">
      <formula>LEN(TRIM(U45))=0</formula>
    </cfRule>
    <cfRule type="notContainsBlanks" dxfId="319" priority="717">
      <formula>LEN(TRIM(U45))&gt;0</formula>
    </cfRule>
  </conditionalFormatting>
  <dataValidations count="1">
    <dataValidation allowBlank="1" showInputMessage="1" sqref="G4:I31 G32:J265" xr:uid="{00000000-0002-0000-0200-000000000000}"/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Tylko z listy!" xr:uid="{00000000-0002-0000-0200-000001000000}">
          <x14:formula1>
            <xm:f>'Listy wyboru'!$A$2:$A$5</xm:f>
          </x14:formula1>
          <xm:sqref>B4:B265</xm:sqref>
        </x14:dataValidation>
        <x14:dataValidation type="list" allowBlank="1" showInputMessage="1" showErrorMessage="1" xr:uid="{00000000-0002-0000-0200-000003000000}">
          <x14:formula1>
            <xm:f>Tabelle1!$A$205:$A$292</xm:f>
          </x14:formula1>
          <xm:sqref>F4:F265</xm:sqref>
        </x14:dataValidation>
        <x14:dataValidation type="date" allowBlank="1" showInputMessage="1" showErrorMessage="1" error="DD.MM.RRRR" xr:uid="{00000000-0002-0000-0200-000002000000}">
          <x14:formula1>
            <xm:f>'Karta informacyjna'!B4</xm:f>
          </x14:formula1>
          <x14:formula2>
            <xm:f>'Karta informacyjna'!B5</xm:f>
          </x14:formula2>
          <xm:sqref>A7:A265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5"/>
  <sheetViews>
    <sheetView showGridLines="0" topLeftCell="K1" zoomScale="70" zoomScaleNormal="70" workbookViewId="0">
      <selection activeCell="T4" sqref="T4"/>
    </sheetView>
  </sheetViews>
  <sheetFormatPr defaultColWidth="10.90625" defaultRowHeight="14.5"/>
  <cols>
    <col min="2" max="3" width="0" hidden="1" customWidth="1"/>
    <col min="4" max="6" width="22.81640625" customWidth="1"/>
    <col min="7" max="9" width="22.81640625" hidden="1" customWidth="1"/>
    <col min="10" max="10" width="22.81640625" customWidth="1"/>
    <col min="11" max="11" width="20.54296875" customWidth="1"/>
    <col min="12" max="12" width="13.1796875" customWidth="1"/>
    <col min="13" max="13" width="19.453125" customWidth="1"/>
    <col min="14" max="14" width="20.81640625" customWidth="1"/>
    <col min="15" max="16" width="19.54296875" customWidth="1"/>
    <col min="18" max="20" width="15.6328125" customWidth="1"/>
    <col min="21" max="21" width="19.90625" customWidth="1"/>
    <col min="22" max="22" width="15.6328125" customWidth="1"/>
    <col min="23" max="23" width="14.1796875" bestFit="1" customWidth="1"/>
  </cols>
  <sheetData>
    <row r="1" spans="1:30" ht="23.5">
      <c r="A1" s="60" t="s">
        <v>399</v>
      </c>
      <c r="B1" s="60"/>
      <c r="G1" s="49"/>
      <c r="H1" s="49"/>
      <c r="I1" s="49"/>
      <c r="J1" s="49"/>
    </row>
    <row r="2" spans="1:30">
      <c r="J2" s="70">
        <f t="shared" ref="J2" si="0">SUM(J4:J265)</f>
        <v>0</v>
      </c>
      <c r="M2" s="70">
        <f t="shared" ref="M2:N2" si="1">SUM(M4:M265)</f>
        <v>0</v>
      </c>
      <c r="N2" s="71">
        <f t="shared" si="1"/>
        <v>0</v>
      </c>
      <c r="O2" s="71">
        <f>SUM(O4:O265)</f>
        <v>0</v>
      </c>
      <c r="P2" s="71"/>
    </row>
    <row r="3" spans="1:30" s="11" customFormat="1" ht="58">
      <c r="A3" s="68" t="s">
        <v>359</v>
      </c>
      <c r="B3" s="69" t="s">
        <v>360</v>
      </c>
      <c r="C3" s="69" t="s">
        <v>365</v>
      </c>
      <c r="D3" s="48" t="s">
        <v>367</v>
      </c>
      <c r="E3" s="78" t="s">
        <v>486</v>
      </c>
      <c r="F3" s="48" t="s">
        <v>370</v>
      </c>
      <c r="G3" s="48" t="s">
        <v>390</v>
      </c>
      <c r="H3" s="48" t="s">
        <v>366</v>
      </c>
      <c r="I3" s="48" t="s">
        <v>369</v>
      </c>
      <c r="J3" s="48" t="s">
        <v>395</v>
      </c>
      <c r="K3" s="48" t="s">
        <v>400</v>
      </c>
      <c r="L3" s="48" t="s">
        <v>368</v>
      </c>
      <c r="M3" s="48" t="s">
        <v>396</v>
      </c>
      <c r="N3" s="48" t="s">
        <v>371</v>
      </c>
      <c r="O3" s="48" t="s">
        <v>372</v>
      </c>
      <c r="P3" s="78" t="s">
        <v>487</v>
      </c>
      <c r="R3" s="151"/>
      <c r="S3" s="151"/>
      <c r="T3" s="58" t="s">
        <v>6</v>
      </c>
      <c r="U3" s="58" t="s">
        <v>7</v>
      </c>
      <c r="V3" s="59"/>
      <c r="W3" s="58" t="s">
        <v>8</v>
      </c>
    </row>
    <row r="4" spans="1:30">
      <c r="A4" s="67"/>
      <c r="B4" s="55"/>
      <c r="C4" s="55"/>
      <c r="D4" s="57" t="str">
        <f>IF(K4="","",VLOOKUP(F4,Tabelle1!$A$2:$C$496,3,0))</f>
        <v/>
      </c>
      <c r="E4" s="57" t="str">
        <f>IF(K4="","",VLOOKUP(F4,Tabelle1!$A$2:$M$496,13,0))</f>
        <v/>
      </c>
      <c r="F4" s="119"/>
      <c r="G4" s="57"/>
      <c r="H4" s="57"/>
      <c r="I4" s="57"/>
      <c r="J4" s="57"/>
      <c r="K4" s="57"/>
      <c r="L4" s="118" t="str">
        <f>IF(K4="","",VLOOKUP(F4,Tabelle1!$A$2:$I$496,9,0))</f>
        <v/>
      </c>
      <c r="M4" s="57" t="str">
        <f>IF(K4="","",VLOOKUP(F4,Tabelle1!$A$2:$G$496,7,0))</f>
        <v/>
      </c>
      <c r="N4" s="66" t="str">
        <f t="shared" ref="N4" si="2">IF(M4&gt;0,O4,"")</f>
        <v/>
      </c>
      <c r="O4" s="66" t="str">
        <f>IF(K4="","",((K4*VLOOKUP(F4,Tabelle1!$A$2:$I$496,8,0))/$W$4))</f>
        <v/>
      </c>
      <c r="P4" s="76" t="str">
        <f>IF(K4="","",VLOOKUP(F4,Tabelle1!$A$2:$L$496,12,0))</f>
        <v/>
      </c>
      <c r="R4" s="61" t="s">
        <v>10</v>
      </c>
      <c r="S4" s="61"/>
      <c r="T4" s="62">
        <f>(SUM(O4:O265))</f>
        <v>0</v>
      </c>
      <c r="U4" s="62">
        <f>SUM(N4:N265)</f>
        <v>0</v>
      </c>
      <c r="V4" s="63"/>
      <c r="W4" s="62">
        <f>U45</f>
        <v>0</v>
      </c>
    </row>
    <row r="5" spans="1:30">
      <c r="A5" s="67"/>
      <c r="B5" s="55"/>
      <c r="C5" s="55"/>
      <c r="D5" s="57" t="str">
        <f>IF(K5="","",VLOOKUP(F5,Tabelle1!$A$2:$C$496,3,0))</f>
        <v/>
      </c>
      <c r="E5" s="57" t="str">
        <f>IF(K5="","",VLOOKUP(F5,Tabelle1!$A$2:$M$496,13,0))</f>
        <v/>
      </c>
      <c r="F5" s="36"/>
      <c r="G5" s="57"/>
      <c r="H5" s="57"/>
      <c r="I5" s="57"/>
      <c r="J5" s="57"/>
      <c r="K5" s="57"/>
      <c r="L5" s="118" t="str">
        <f>IF(K5="","",VLOOKUP(F5,Tabelle1!$A$2:$I$496,9,0))</f>
        <v/>
      </c>
      <c r="M5" s="57" t="str">
        <f>IF(K5="","",VLOOKUP(F5,Tabelle1!$A$2:$G$496,7,0))</f>
        <v/>
      </c>
      <c r="N5" s="66" t="str">
        <f t="shared" ref="N5:N68" si="3">IF(M5&gt;0,O5,"")</f>
        <v/>
      </c>
      <c r="O5" s="66" t="str">
        <f>IF(K5="","",((K5*VLOOKUP(F5,Tabelle1!$A$2:$I$496,8,0))/$W$4))</f>
        <v/>
      </c>
      <c r="P5" s="76" t="str">
        <f>IF(K5="","",VLOOKUP(F5,Tabelle1!$A$2:$L$496,12,0))</f>
        <v/>
      </c>
      <c r="R5" s="63"/>
      <c r="S5" s="63"/>
      <c r="T5" s="63"/>
      <c r="U5" s="63"/>
      <c r="V5" s="63"/>
    </row>
    <row r="6" spans="1:30">
      <c r="A6" s="67"/>
      <c r="B6" s="55"/>
      <c r="C6" s="55"/>
      <c r="D6" s="57" t="str">
        <f>IF(K6="","",VLOOKUP(F6,Tabelle1!$A$2:$C$496,3,0))</f>
        <v/>
      </c>
      <c r="E6" s="57" t="str">
        <f>IF(K6="","",VLOOKUP(F6,Tabelle1!$A$2:$M$496,13,0))</f>
        <v/>
      </c>
      <c r="F6" s="36"/>
      <c r="G6" s="57"/>
      <c r="H6" s="57"/>
      <c r="I6" s="57"/>
      <c r="J6" s="57"/>
      <c r="K6" s="57"/>
      <c r="L6" s="118" t="str">
        <f>IF(K6="","",VLOOKUP(F6,Tabelle1!$A$2:$I$496,9,0))</f>
        <v/>
      </c>
      <c r="M6" s="57" t="str">
        <f>IF(K6="","",VLOOKUP(F6,Tabelle1!$A$2:$G$496,7,0))</f>
        <v/>
      </c>
      <c r="N6" s="66" t="str">
        <f t="shared" si="3"/>
        <v/>
      </c>
      <c r="O6" s="66" t="str">
        <f>IF(K6="","",((K6*VLOOKUP(F6,Tabelle1!$A$2:$I$496,8,0))/$W$4))</f>
        <v/>
      </c>
      <c r="P6" s="76" t="str">
        <f>IF(K6="","",VLOOKUP(F6,Tabelle1!$A$2:$L$496,12,0))</f>
        <v/>
      </c>
      <c r="R6" s="63"/>
      <c r="S6" s="63"/>
      <c r="T6" s="63"/>
      <c r="U6" s="63"/>
      <c r="V6" s="63"/>
    </row>
    <row r="7" spans="1:30" ht="29">
      <c r="A7" s="67"/>
      <c r="B7" s="55"/>
      <c r="C7" s="55"/>
      <c r="D7" s="57" t="str">
        <f>IF(K7="","",VLOOKUP(F7,Tabelle1!$A$2:$C$496,3,0))</f>
        <v/>
      </c>
      <c r="E7" s="57" t="str">
        <f>IF(K7="","",VLOOKUP(F7,Tabelle1!$A$2:$M$496,13,0))</f>
        <v/>
      </c>
      <c r="F7" s="36"/>
      <c r="G7" s="57"/>
      <c r="H7" s="57"/>
      <c r="I7" s="57"/>
      <c r="J7" s="57"/>
      <c r="K7" s="57"/>
      <c r="L7" s="118" t="str">
        <f>IF(K7="","",VLOOKUP(F7,Tabelle1!$A$2:$I$496,9,0))</f>
        <v/>
      </c>
      <c r="M7" s="57" t="str">
        <f>IF(K7="","",VLOOKUP(F7,Tabelle1!$A$2:$G$496,7,0))</f>
        <v/>
      </c>
      <c r="N7" s="66" t="str">
        <f t="shared" si="3"/>
        <v/>
      </c>
      <c r="O7" s="66" t="str">
        <f>IF(K7="","",((K7*VLOOKUP(F7,Tabelle1!$A$2:$I$496,8,0))/$W$4))</f>
        <v/>
      </c>
      <c r="P7" s="76" t="str">
        <f>IF(K7="","",VLOOKUP(F7,Tabelle1!$A$2:$L$496,12,0))</f>
        <v/>
      </c>
      <c r="R7" s="148" t="s">
        <v>2</v>
      </c>
      <c r="S7" s="148"/>
      <c r="T7" s="58" t="s">
        <v>5</v>
      </c>
      <c r="U7" s="58" t="s">
        <v>4</v>
      </c>
      <c r="V7" s="13"/>
    </row>
    <row r="8" spans="1:30">
      <c r="A8" s="67"/>
      <c r="B8" s="55"/>
      <c r="C8" s="55"/>
      <c r="D8" s="57" t="str">
        <f>IF(K8="","",VLOOKUP(F8,Tabelle1!$A$2:$C$496,3,0))</f>
        <v/>
      </c>
      <c r="E8" s="57" t="str">
        <f>IF(K8="","",VLOOKUP(F8,Tabelle1!$A$2:$M$496,13,0))</f>
        <v/>
      </c>
      <c r="F8" s="36"/>
      <c r="G8" s="57"/>
      <c r="H8" s="57"/>
      <c r="I8" s="57"/>
      <c r="J8" s="57"/>
      <c r="K8" s="57"/>
      <c r="L8" s="118" t="str">
        <f>IF(K8="","",VLOOKUP(F8,Tabelle1!$A$2:$I$496,9,0))</f>
        <v/>
      </c>
      <c r="M8" s="57" t="str">
        <f>IF(K8="","",VLOOKUP(F8,Tabelle1!$A$2:$G$496,7,0))</f>
        <v/>
      </c>
      <c r="N8" s="66" t="str">
        <f t="shared" si="3"/>
        <v/>
      </c>
      <c r="O8" s="66" t="str">
        <f>IF(K8="","",((K8*VLOOKUP(F8,Tabelle1!$A$2:$I$496,8,0))/$W$4))</f>
        <v/>
      </c>
      <c r="P8" s="76" t="str">
        <f>IF(K8="","",VLOOKUP(F8,Tabelle1!$A$2:$L$496,12,0))</f>
        <v/>
      </c>
      <c r="R8" s="149" t="s">
        <v>14</v>
      </c>
      <c r="S8" s="149"/>
      <c r="T8" s="64">
        <f>SUMIFS($O$4:$O$265,$M$4:$M$265,"0",$D$4:$D$265,R8)</f>
        <v>0</v>
      </c>
      <c r="U8" s="64">
        <f>SUMIFS($O$4:$O$265,$M$4:$M$265,"1",$D$4:$D$265,R8)</f>
        <v>0</v>
      </c>
      <c r="V8" s="14"/>
    </row>
    <row r="9" spans="1:30" ht="18.5">
      <c r="A9" s="67"/>
      <c r="B9" s="55"/>
      <c r="C9" s="55"/>
      <c r="D9" s="57" t="str">
        <f>IF(K9="","",VLOOKUP(F9,Tabelle1!$A$2:$C$496,3,0))</f>
        <v/>
      </c>
      <c r="E9" s="57" t="str">
        <f>IF(K9="","",VLOOKUP(F9,Tabelle1!$A$2:$M$496,13,0))</f>
        <v/>
      </c>
      <c r="F9" s="36"/>
      <c r="G9" s="57"/>
      <c r="H9" s="57"/>
      <c r="I9" s="57"/>
      <c r="J9" s="57"/>
      <c r="K9" s="57"/>
      <c r="L9" s="118" t="str">
        <f>IF(K9="","",VLOOKUP(F9,Tabelle1!$A$2:$I$496,9,0))</f>
        <v/>
      </c>
      <c r="M9" s="57" t="str">
        <f>IF(K9="","",VLOOKUP(F9,Tabelle1!$A$2:$G$496,7,0))</f>
        <v/>
      </c>
      <c r="N9" s="66" t="str">
        <f t="shared" si="3"/>
        <v/>
      </c>
      <c r="O9" s="66" t="str">
        <f>IF(K9="","",((K9*VLOOKUP(F9,Tabelle1!$A$2:$I$496,8,0))/$W$4))</f>
        <v/>
      </c>
      <c r="P9" s="76" t="str">
        <f>IF(K9="","",VLOOKUP(F9,Tabelle1!$A$2:$L$496,12,0))</f>
        <v/>
      </c>
      <c r="R9" s="149" t="s">
        <v>16</v>
      </c>
      <c r="S9" s="149"/>
      <c r="T9" s="64">
        <f>SUMIFS($O$4:$O$265,$M$4:$M$265,"0",$D$4:$D$265,R9)</f>
        <v>0</v>
      </c>
      <c r="U9" s="64">
        <f>SUMIFS($O$4:$O$265,$M$4:$M$265,"1",$D$4:$D$265,R9)</f>
        <v>0</v>
      </c>
      <c r="V9" s="14"/>
      <c r="AD9" s="123"/>
    </row>
    <row r="10" spans="1:30" ht="18.5">
      <c r="A10" s="67"/>
      <c r="B10" s="55"/>
      <c r="C10" s="55"/>
      <c r="D10" s="57" t="str">
        <f>IF(K10="","",VLOOKUP(F10,Tabelle1!$A$2:$C$496,3,0))</f>
        <v/>
      </c>
      <c r="E10" s="57" t="str">
        <f>IF(K10="","",VLOOKUP(F10,Tabelle1!$A$2:$M$496,13,0))</f>
        <v/>
      </c>
      <c r="F10" s="36"/>
      <c r="G10" s="57"/>
      <c r="H10" s="57"/>
      <c r="I10" s="57"/>
      <c r="J10" s="57"/>
      <c r="K10" s="57"/>
      <c r="L10" s="118" t="str">
        <f>IF(K10="","",VLOOKUP(F10,Tabelle1!$A$2:$I$496,9,0))</f>
        <v/>
      </c>
      <c r="M10" s="57" t="str">
        <f>IF(K10="","",VLOOKUP(F10,Tabelle1!$A$2:$G$496,7,0))</f>
        <v/>
      </c>
      <c r="N10" s="66" t="str">
        <f t="shared" si="3"/>
        <v/>
      </c>
      <c r="O10" s="66" t="str">
        <f>IF(K10="","",((K10*VLOOKUP(F10,Tabelle1!$A$2:$I$496,8,0))/$W$4))</f>
        <v/>
      </c>
      <c r="P10" s="76" t="str">
        <f>IF(K10="","",VLOOKUP(F10,Tabelle1!$A$2:$L$496,12,0))</f>
        <v/>
      </c>
      <c r="R10" s="149" t="s">
        <v>17</v>
      </c>
      <c r="S10" s="149"/>
      <c r="T10" s="64">
        <f>SUMIFS($O$4:$O$265,$M$4:$M$265,"0",$D$4:$D$265,R10)</f>
        <v>0</v>
      </c>
      <c r="U10" s="64">
        <f>SUMIFS($O$4:$O$265,$M$4:$M$265,"1",$D$4:$D$265,R10)</f>
        <v>0</v>
      </c>
      <c r="V10" s="14"/>
      <c r="AD10" s="123" t="s">
        <v>513</v>
      </c>
    </row>
    <row r="11" spans="1:30" ht="18.5">
      <c r="A11" s="67"/>
      <c r="B11" s="55"/>
      <c r="C11" s="55"/>
      <c r="D11" s="57" t="str">
        <f>IF(K11="","",VLOOKUP(F11,Tabelle1!$A$2:$C$496,3,0))</f>
        <v/>
      </c>
      <c r="E11" s="57" t="str">
        <f>IF(K11="","",VLOOKUP(F11,Tabelle1!$A$2:$M$496,13,0))</f>
        <v/>
      </c>
      <c r="F11" s="36"/>
      <c r="G11" s="57"/>
      <c r="H11" s="57"/>
      <c r="I11" s="57"/>
      <c r="J11" s="57"/>
      <c r="K11" s="57"/>
      <c r="L11" s="118" t="str">
        <f>IF(K11="","",VLOOKUP(F11,Tabelle1!$A$2:$I$496,9,0))</f>
        <v/>
      </c>
      <c r="M11" s="57" t="str">
        <f>IF(K11="","",VLOOKUP(F11,Tabelle1!$A$2:$G$496,7,0))</f>
        <v/>
      </c>
      <c r="N11" s="66" t="str">
        <f t="shared" si="3"/>
        <v/>
      </c>
      <c r="O11" s="66" t="str">
        <f>IF(K11="","",((K11*VLOOKUP(F11,Tabelle1!$A$2:$I$496,8,0))/$W$4))</f>
        <v/>
      </c>
      <c r="P11" s="76" t="str">
        <f>IF(K11="","",VLOOKUP(F11,Tabelle1!$A$2:$L$496,12,0))</f>
        <v/>
      </c>
      <c r="R11" s="149" t="s">
        <v>19</v>
      </c>
      <c r="S11" s="149"/>
      <c r="T11" s="64">
        <f>SUM(T13:T16)</f>
        <v>0</v>
      </c>
      <c r="U11" s="64">
        <f>SUM(U13:U16)</f>
        <v>0</v>
      </c>
      <c r="V11" s="14"/>
      <c r="AD11" s="123" t="s">
        <v>514</v>
      </c>
    </row>
    <row r="12" spans="1:30">
      <c r="A12" s="67"/>
      <c r="B12" s="55"/>
      <c r="C12" s="55"/>
      <c r="D12" s="57" t="str">
        <f>IF(K12="","",VLOOKUP(F12,Tabelle1!$A$2:$C$496,3,0))</f>
        <v/>
      </c>
      <c r="E12" s="57" t="str">
        <f>IF(K12="","",VLOOKUP(F12,Tabelle1!$A$2:$M$496,13,0))</f>
        <v/>
      </c>
      <c r="F12" s="36"/>
      <c r="G12" s="57"/>
      <c r="H12" s="57"/>
      <c r="I12" s="57"/>
      <c r="J12" s="57"/>
      <c r="K12" s="57"/>
      <c r="L12" s="118" t="str">
        <f>IF(K12="","",VLOOKUP(F12,Tabelle1!$A$2:$I$496,9,0))</f>
        <v/>
      </c>
      <c r="M12" s="57" t="str">
        <f>IF(K12="","",VLOOKUP(F12,Tabelle1!$A$2:$G$496,7,0))</f>
        <v/>
      </c>
      <c r="N12" s="66" t="str">
        <f t="shared" si="3"/>
        <v/>
      </c>
      <c r="O12" s="66" t="str">
        <f>IF(K12="","",((K12*VLOOKUP(F12,Tabelle1!$A$2:$I$496,8,0))/$W$4))</f>
        <v/>
      </c>
      <c r="P12" s="76" t="str">
        <f>IF(K12="","",VLOOKUP(F12,Tabelle1!$A$2:$L$496,12,0))</f>
        <v/>
      </c>
      <c r="R12" s="148" t="s">
        <v>20</v>
      </c>
      <c r="S12" s="148"/>
      <c r="T12" s="65">
        <f>SUM(T8:T11)</f>
        <v>0</v>
      </c>
      <c r="U12" s="65">
        <f>SUM(U8:U11)</f>
        <v>0</v>
      </c>
      <c r="V12" s="65">
        <f>T12+U12</f>
        <v>0</v>
      </c>
    </row>
    <row r="13" spans="1:30">
      <c r="A13" s="67"/>
      <c r="B13" s="55"/>
      <c r="C13" s="55"/>
      <c r="D13" s="57" t="str">
        <f>IF(K13="","",VLOOKUP(F13,Tabelle1!$A$2:$C$496,3,0))</f>
        <v/>
      </c>
      <c r="E13" s="57" t="str">
        <f>IF(K13="","",VLOOKUP(F13,Tabelle1!$A$2:$M$496,13,0))</f>
        <v/>
      </c>
      <c r="F13" s="36"/>
      <c r="G13" s="57"/>
      <c r="H13" s="57"/>
      <c r="I13" s="57"/>
      <c r="J13" s="57"/>
      <c r="K13" s="57"/>
      <c r="L13" s="118" t="str">
        <f>IF(K13="","",VLOOKUP(F13,Tabelle1!$A$2:$I$496,9,0))</f>
        <v/>
      </c>
      <c r="M13" s="57" t="str">
        <f>IF(K13="","",VLOOKUP(F13,Tabelle1!$A$2:$G$496,7,0))</f>
        <v/>
      </c>
      <c r="N13" s="66" t="str">
        <f t="shared" si="3"/>
        <v/>
      </c>
      <c r="O13" s="66" t="str">
        <f>IF(K13="","",((K13*VLOOKUP(F13,Tabelle1!$A$2:$I$496,8,0))/$W$4))</f>
        <v/>
      </c>
      <c r="P13" s="76" t="str">
        <f>IF(K13="","",VLOOKUP(F13,Tabelle1!$A$2:$L$496,12,0))</f>
        <v/>
      </c>
      <c r="R13" s="149" t="s">
        <v>22</v>
      </c>
      <c r="S13" s="149"/>
      <c r="T13" s="64">
        <f>SUMIFS($O$4:$O$265,$M$4:$M$265,"0",$D$4:$D$265,R13)</f>
        <v>0</v>
      </c>
      <c r="U13" s="64">
        <f>SUMIFS($O$4:$O$265,$M$4:$M$265,"1",$D$4:$D$265,R13)</f>
        <v>0</v>
      </c>
      <c r="V13" s="14"/>
    </row>
    <row r="14" spans="1:30">
      <c r="A14" s="67"/>
      <c r="B14" s="55"/>
      <c r="C14" s="55"/>
      <c r="D14" s="57" t="str">
        <f>IF(K14="","",VLOOKUP(F14,Tabelle1!$A$2:$C$496,3,0))</f>
        <v/>
      </c>
      <c r="E14" s="57" t="str">
        <f>IF(K14="","",VLOOKUP(F14,Tabelle1!$A$2:$M$496,13,0))</f>
        <v/>
      </c>
      <c r="F14" s="36"/>
      <c r="G14" s="57"/>
      <c r="H14" s="57"/>
      <c r="I14" s="57"/>
      <c r="J14" s="57"/>
      <c r="K14" s="57"/>
      <c r="L14" s="118" t="str">
        <f>IF(K14="","",VLOOKUP(F14,Tabelle1!$A$2:$I$496,9,0))</f>
        <v/>
      </c>
      <c r="M14" s="57" t="str">
        <f>IF(K14="","",VLOOKUP(F14,Tabelle1!$A$2:$G$496,7,0))</f>
        <v/>
      </c>
      <c r="N14" s="66" t="str">
        <f t="shared" si="3"/>
        <v/>
      </c>
      <c r="O14" s="66" t="str">
        <f>IF(K14="","",((K14*VLOOKUP(F14,Tabelle1!$A$2:$I$496,8,0))/$W$4))</f>
        <v/>
      </c>
      <c r="P14" s="76" t="str">
        <f>IF(K14="","",VLOOKUP(F14,Tabelle1!$A$2:$L$496,12,0))</f>
        <v/>
      </c>
      <c r="R14" s="149" t="s">
        <v>23</v>
      </c>
      <c r="S14" s="149"/>
      <c r="T14" s="64">
        <f>SUMIFS($O$4:$O$265,$M$4:$M$265,"0",$D$4:$D$265,R14)</f>
        <v>0</v>
      </c>
      <c r="U14" s="64">
        <f>SUMIFS($O$4:$O$265,$M$4:$M$265,"1",$D$4:$D$265,R14)</f>
        <v>0</v>
      </c>
      <c r="V14" s="14"/>
    </row>
    <row r="15" spans="1:30">
      <c r="A15" s="67"/>
      <c r="B15" s="55"/>
      <c r="C15" s="55"/>
      <c r="D15" s="57" t="str">
        <f>IF(K15="","",VLOOKUP(F15,Tabelle1!$A$2:$C$496,3,0))</f>
        <v/>
      </c>
      <c r="E15" s="57" t="str">
        <f>IF(K15="","",VLOOKUP(F15,Tabelle1!$A$2:$M$496,13,0))</f>
        <v/>
      </c>
      <c r="F15" s="36"/>
      <c r="G15" s="57"/>
      <c r="H15" s="57"/>
      <c r="I15" s="57"/>
      <c r="J15" s="57"/>
      <c r="K15" s="57"/>
      <c r="L15" s="118" t="str">
        <f>IF(K15="","",VLOOKUP(F15,Tabelle1!$A$2:$I$496,9,0))</f>
        <v/>
      </c>
      <c r="M15" s="57" t="str">
        <f>IF(K15="","",VLOOKUP(F15,Tabelle1!$A$2:$G$496,7,0))</f>
        <v/>
      </c>
      <c r="N15" s="66" t="str">
        <f t="shared" si="3"/>
        <v/>
      </c>
      <c r="O15" s="66" t="str">
        <f>IF(K15="","",((K15*VLOOKUP(F15,Tabelle1!$A$2:$I$496,8,0))/$W$4))</f>
        <v/>
      </c>
      <c r="P15" s="76" t="str">
        <f>IF(K15="","",VLOOKUP(F15,Tabelle1!$A$2:$L$496,12,0))</f>
        <v/>
      </c>
      <c r="R15" s="149" t="s">
        <v>24</v>
      </c>
      <c r="S15" s="149"/>
      <c r="T15" s="64">
        <f>SUMIFS($O$4:$O$265,$M$4:$M$265,"0",$D$4:$D$265,R15)</f>
        <v>0</v>
      </c>
      <c r="U15" s="64">
        <f>SUMIFS($O$4:$O$265,$M$4:$M$265,"1",$D$4:$D$265,R15)</f>
        <v>0</v>
      </c>
      <c r="V15" s="14"/>
    </row>
    <row r="16" spans="1:30">
      <c r="A16" s="67"/>
      <c r="B16" s="55"/>
      <c r="C16" s="55"/>
      <c r="D16" s="57" t="str">
        <f>IF(K16="","",VLOOKUP(F16,Tabelle1!$A$2:$C$496,3,0))</f>
        <v/>
      </c>
      <c r="E16" s="57" t="str">
        <f>IF(K16="","",VLOOKUP(F16,Tabelle1!$A$2:$M$496,13,0))</f>
        <v/>
      </c>
      <c r="F16" s="36"/>
      <c r="G16" s="57"/>
      <c r="H16" s="57"/>
      <c r="I16" s="57"/>
      <c r="J16" s="57"/>
      <c r="K16" s="57"/>
      <c r="L16" s="118" t="str">
        <f>IF(K16="","",VLOOKUP(F16,Tabelle1!$A$2:$I$496,9,0))</f>
        <v/>
      </c>
      <c r="M16" s="57" t="str">
        <f>IF(K16="","",VLOOKUP(F16,Tabelle1!$A$2:$G$496,7,0))</f>
        <v/>
      </c>
      <c r="N16" s="66" t="str">
        <f t="shared" si="3"/>
        <v/>
      </c>
      <c r="O16" s="66" t="str">
        <f>IF(K16="","",((K16*VLOOKUP(F16,Tabelle1!$A$2:$I$496,8,0))/$W$4))</f>
        <v/>
      </c>
      <c r="P16" s="76" t="str">
        <f>IF(K16="","",VLOOKUP(F16,Tabelle1!$A$2:$L$496,12,0))</f>
        <v/>
      </c>
      <c r="R16" s="149" t="s">
        <v>26</v>
      </c>
      <c r="S16" s="149"/>
      <c r="T16" s="64">
        <f>SUMIFS($O$4:$O$265,$M$4:$M$265,"0",$D$4:$D$265,R16)</f>
        <v>0</v>
      </c>
      <c r="U16" s="64">
        <f>SUMIFS($O$4:$O$265,$M$4:$M$265,"1",$D$4:$D$265,R16)</f>
        <v>0</v>
      </c>
      <c r="V16" s="14"/>
    </row>
    <row r="17" spans="1:22">
      <c r="A17" s="67"/>
      <c r="B17" s="55"/>
      <c r="C17" s="55"/>
      <c r="D17" s="57" t="str">
        <f>IF(K17="","",VLOOKUP(F17,Tabelle1!$A$2:$C$496,3,0))</f>
        <v/>
      </c>
      <c r="E17" s="57" t="str">
        <f>IF(K17="","",VLOOKUP(F17,Tabelle1!$A$2:$M$496,13,0))</f>
        <v/>
      </c>
      <c r="F17" s="36"/>
      <c r="G17" s="57"/>
      <c r="H17" s="57"/>
      <c r="I17" s="57"/>
      <c r="J17" s="57"/>
      <c r="K17" s="57"/>
      <c r="L17" s="118" t="str">
        <f>IF(K17="","",VLOOKUP(F17,Tabelle1!$A$2:$I$496,9,0))</f>
        <v/>
      </c>
      <c r="M17" s="57" t="str">
        <f>IF(K17="","",VLOOKUP(F17,Tabelle1!$A$2:$G$496,7,0))</f>
        <v/>
      </c>
      <c r="N17" s="66" t="str">
        <f t="shared" si="3"/>
        <v/>
      </c>
      <c r="O17" s="66" t="str">
        <f>IF(K17="","",((K17*VLOOKUP(F17,Tabelle1!$A$2:$I$496,8,0))/$W$4))</f>
        <v/>
      </c>
      <c r="P17" s="76" t="str">
        <f>IF(K17="","",VLOOKUP(F17,Tabelle1!$A$2:$L$496,12,0))</f>
        <v/>
      </c>
      <c r="R17" s="64"/>
      <c r="S17" s="64"/>
      <c r="T17" s="64"/>
      <c r="U17" s="64"/>
      <c r="V17" s="14"/>
    </row>
    <row r="18" spans="1:22">
      <c r="A18" s="67"/>
      <c r="B18" s="55"/>
      <c r="C18" s="55"/>
      <c r="D18" s="57" t="str">
        <f>IF(K18="","",VLOOKUP(F18,Tabelle1!$A$2:$C$496,3,0))</f>
        <v/>
      </c>
      <c r="E18" s="57" t="str">
        <f>IF(K18="","",VLOOKUP(F18,Tabelle1!$A$2:$M$496,13,0))</f>
        <v/>
      </c>
      <c r="F18" s="36"/>
      <c r="G18" s="57"/>
      <c r="H18" s="57"/>
      <c r="I18" s="57"/>
      <c r="J18" s="57"/>
      <c r="K18" s="57"/>
      <c r="L18" s="118" t="str">
        <f>IF(K18="","",VLOOKUP(F18,Tabelle1!$A$2:$I$496,9,0))</f>
        <v/>
      </c>
      <c r="M18" s="57" t="str">
        <f>IF(K18="","",VLOOKUP(F18,Tabelle1!$A$2:$G$496,7,0))</f>
        <v/>
      </c>
      <c r="N18" s="66" t="str">
        <f t="shared" si="3"/>
        <v/>
      </c>
      <c r="O18" s="66" t="str">
        <f>IF(K18="","",((K18*VLOOKUP(F18,Tabelle1!$A$2:$I$496,8,0))/$W$4))</f>
        <v/>
      </c>
      <c r="P18" s="76" t="str">
        <f>IF(K18="","",VLOOKUP(F18,Tabelle1!$A$2:$L$496,12,0))</f>
        <v/>
      </c>
      <c r="V18" s="14"/>
    </row>
    <row r="19" spans="1:22">
      <c r="A19" s="67"/>
      <c r="B19" s="55"/>
      <c r="C19" s="55"/>
      <c r="D19" s="57" t="str">
        <f>IF(K19="","",VLOOKUP(F19,Tabelle1!$A$2:$C$496,3,0))</f>
        <v/>
      </c>
      <c r="E19" s="57" t="str">
        <f>IF(K19="","",VLOOKUP(F19,Tabelle1!$A$2:$M$496,13,0))</f>
        <v/>
      </c>
      <c r="F19" s="36"/>
      <c r="G19" s="57"/>
      <c r="H19" s="57"/>
      <c r="I19" s="57"/>
      <c r="J19" s="57"/>
      <c r="K19" s="57"/>
      <c r="L19" s="118" t="str">
        <f>IF(K19="","",VLOOKUP(F19,Tabelle1!$A$2:$I$496,9,0))</f>
        <v/>
      </c>
      <c r="M19" s="57" t="str">
        <f>IF(K19="","",VLOOKUP(F19,Tabelle1!$A$2:$G$496,7,0))</f>
        <v/>
      </c>
      <c r="N19" s="66" t="str">
        <f t="shared" si="3"/>
        <v/>
      </c>
      <c r="O19" s="66" t="str">
        <f>IF(K19="","",((K19*VLOOKUP(F19,Tabelle1!$A$2:$I$496,8,0))/$W$4))</f>
        <v/>
      </c>
      <c r="P19" s="76" t="str">
        <f>IF(K19="","",VLOOKUP(F19,Tabelle1!$A$2:$L$496,12,0))</f>
        <v/>
      </c>
    </row>
    <row r="20" spans="1:22">
      <c r="A20" s="67"/>
      <c r="B20" s="55"/>
      <c r="C20" s="55"/>
      <c r="D20" s="57" t="str">
        <f>IF(K20="","",VLOOKUP(F20,Tabelle1!$A$2:$C$496,3,0))</f>
        <v/>
      </c>
      <c r="E20" s="57" t="str">
        <f>IF(K20="","",VLOOKUP(F20,Tabelle1!$A$2:$M$496,13,0))</f>
        <v/>
      </c>
      <c r="F20" s="36"/>
      <c r="G20" s="57"/>
      <c r="H20" s="57"/>
      <c r="I20" s="57"/>
      <c r="J20" s="57"/>
      <c r="K20" s="57"/>
      <c r="L20" s="118" t="str">
        <f>IF(K20="","",VLOOKUP(F20,Tabelle1!$A$2:$I$496,9,0))</f>
        <v/>
      </c>
      <c r="M20" s="57" t="str">
        <f>IF(K20="","",VLOOKUP(F20,Tabelle1!$A$2:$G$496,7,0))</f>
        <v/>
      </c>
      <c r="N20" s="66" t="str">
        <f t="shared" si="3"/>
        <v/>
      </c>
      <c r="O20" s="66" t="str">
        <f>IF(K20="","",((K20*VLOOKUP(F20,Tabelle1!$A$2:$I$496,8,0))/$W$4))</f>
        <v/>
      </c>
      <c r="P20" s="76" t="str">
        <f>IF(K20="","",VLOOKUP(F20,Tabelle1!$A$2:$L$496,12,0))</f>
        <v/>
      </c>
      <c r="Q20" s="121">
        <f>SUM(O4:O6)</f>
        <v>0</v>
      </c>
    </row>
    <row r="21" spans="1:22">
      <c r="A21" s="67"/>
      <c r="B21" s="55"/>
      <c r="C21" s="55"/>
      <c r="D21" s="57" t="str">
        <f>IF(K21="","",VLOOKUP(F21,Tabelle1!$A$2:$C$496,3,0))</f>
        <v/>
      </c>
      <c r="E21" s="57" t="str">
        <f>IF(K21="","",VLOOKUP(F21,Tabelle1!$A$2:$M$496,13,0))</f>
        <v/>
      </c>
      <c r="F21" s="36"/>
      <c r="G21" s="57"/>
      <c r="H21" s="57"/>
      <c r="I21" s="57"/>
      <c r="J21" s="57"/>
      <c r="K21" s="57"/>
      <c r="L21" s="118" t="str">
        <f>IF(K21="","",VLOOKUP(F21,Tabelle1!$A$2:$I$496,9,0))</f>
        <v/>
      </c>
      <c r="M21" s="57" t="str">
        <f>IF(K21="","",VLOOKUP(F21,Tabelle1!$A$2:$G$496,7,0))</f>
        <v/>
      </c>
      <c r="N21" s="66" t="str">
        <f t="shared" si="3"/>
        <v/>
      </c>
      <c r="O21" s="66" t="str">
        <f>IF(K21="","",((K21*VLOOKUP(F21,Tabelle1!$A$2:$I$496,8,0))/$W$4))</f>
        <v/>
      </c>
      <c r="P21" s="76" t="str">
        <f>IF(K21="","",VLOOKUP(F21,Tabelle1!$A$2:$L$496,12,0))</f>
        <v/>
      </c>
    </row>
    <row r="22" spans="1:22">
      <c r="A22" s="67"/>
      <c r="B22" s="55"/>
      <c r="C22" s="55"/>
      <c r="D22" s="57" t="str">
        <f>IF(K22="","",VLOOKUP(F22,Tabelle1!$A$2:$C$496,3,0))</f>
        <v/>
      </c>
      <c r="E22" s="57" t="str">
        <f>IF(K22="","",VLOOKUP(F22,Tabelle1!$A$2:$M$496,13,0))</f>
        <v/>
      </c>
      <c r="F22" s="56"/>
      <c r="G22" s="57"/>
      <c r="H22" s="57"/>
      <c r="I22" s="57"/>
      <c r="J22" s="57"/>
      <c r="K22" s="57"/>
      <c r="L22" s="118" t="str">
        <f>IF(K22="","",VLOOKUP(F22,Tabelle1!$A$2:$I$496,9,0))</f>
        <v/>
      </c>
      <c r="M22" s="57" t="str">
        <f>IF(K22="","",VLOOKUP(F22,Tabelle1!$A$2:$G$496,7,0))</f>
        <v/>
      </c>
      <c r="N22" s="66" t="str">
        <f t="shared" si="3"/>
        <v/>
      </c>
      <c r="O22" s="66" t="str">
        <f>IF(K22="","",((K22*VLOOKUP(F22,Tabelle1!$A$2:$I$496,8,0))/$W$4))</f>
        <v/>
      </c>
      <c r="P22" s="76" t="str">
        <f>IF(K22="","",VLOOKUP(F22,Tabelle1!$A$2:$L$496,12,0))</f>
        <v/>
      </c>
    </row>
    <row r="23" spans="1:22">
      <c r="A23" s="67"/>
      <c r="B23" s="55"/>
      <c r="C23" s="55"/>
      <c r="D23" s="57" t="str">
        <f>IF(K23="","",VLOOKUP(F23,Tabelle1!$A$2:$C$496,3,0))</f>
        <v/>
      </c>
      <c r="E23" s="57" t="str">
        <f>IF(K23="","",VLOOKUP(F23,Tabelle1!$A$2:$M$496,13,0))</f>
        <v/>
      </c>
      <c r="F23" s="56"/>
      <c r="G23" s="57"/>
      <c r="H23" s="57"/>
      <c r="I23" s="57"/>
      <c r="J23" s="57"/>
      <c r="K23" s="57"/>
      <c r="L23" s="118" t="str">
        <f>IF(K23="","",VLOOKUP(F23,Tabelle1!$A$2:$I$496,9,0))</f>
        <v/>
      </c>
      <c r="M23" s="57" t="str">
        <f>IF(K23="","",VLOOKUP(F23,Tabelle1!$A$2:$G$496,7,0))</f>
        <v/>
      </c>
      <c r="N23" s="66" t="str">
        <f t="shared" si="3"/>
        <v/>
      </c>
      <c r="O23" s="66" t="str">
        <f>IF(K23="","",((K23*VLOOKUP(F23,Tabelle1!$A$2:$I$496,8,0))/$W$4))</f>
        <v/>
      </c>
      <c r="P23" s="76" t="str">
        <f>IF(K23="","",VLOOKUP(F23,Tabelle1!$A$2:$L$496,12,0))</f>
        <v/>
      </c>
    </row>
    <row r="24" spans="1:22">
      <c r="A24" s="67"/>
      <c r="B24" s="55"/>
      <c r="C24" s="55"/>
      <c r="D24" s="57" t="str">
        <f>IF(K24="","",VLOOKUP(F24,Tabelle1!$A$2:$C$496,3,0))</f>
        <v/>
      </c>
      <c r="E24" s="57" t="str">
        <f>IF(K24="","",VLOOKUP(F24,Tabelle1!$A$2:$M$496,13,0))</f>
        <v/>
      </c>
      <c r="F24" s="56"/>
      <c r="G24" s="57"/>
      <c r="H24" s="57"/>
      <c r="I24" s="57"/>
      <c r="J24" s="57"/>
      <c r="K24" s="57"/>
      <c r="L24" s="118" t="str">
        <f>IF(K24="","",VLOOKUP(F24,Tabelle1!$A$2:$I$496,9,0))</f>
        <v/>
      </c>
      <c r="M24" s="57" t="str">
        <f>IF(K24="","",VLOOKUP(F24,Tabelle1!$A$2:$G$496,7,0))</f>
        <v/>
      </c>
      <c r="N24" s="66" t="str">
        <f t="shared" si="3"/>
        <v/>
      </c>
      <c r="O24" s="66" t="str">
        <f>IF(K24="","",((K24*VLOOKUP(F24,Tabelle1!$A$2:$I$496,8,0))/$W$4))</f>
        <v/>
      </c>
      <c r="P24" s="76" t="str">
        <f>IF(K24="","",VLOOKUP(F24,Tabelle1!$A$2:$L$496,12,0))</f>
        <v/>
      </c>
    </row>
    <row r="25" spans="1:22">
      <c r="A25" s="67"/>
      <c r="B25" s="55"/>
      <c r="C25" s="55"/>
      <c r="D25" s="57" t="str">
        <f>IF(K25="","",VLOOKUP(F25,Tabelle1!$A$2:$C$496,3,0))</f>
        <v/>
      </c>
      <c r="E25" s="57" t="str">
        <f>IF(K25="","",VLOOKUP(F25,Tabelle1!$A$2:$M$496,13,0))</f>
        <v/>
      </c>
      <c r="F25" s="56"/>
      <c r="G25" s="57"/>
      <c r="H25" s="57"/>
      <c r="I25" s="57"/>
      <c r="J25" s="57"/>
      <c r="K25" s="57"/>
      <c r="L25" s="118" t="str">
        <f>IF(K25="","",VLOOKUP(F25,Tabelle1!$A$2:$I$496,9,0))</f>
        <v/>
      </c>
      <c r="M25" s="57" t="str">
        <f>IF(K25="","",VLOOKUP(F25,Tabelle1!$A$2:$G$496,7,0))</f>
        <v/>
      </c>
      <c r="N25" s="66" t="str">
        <f t="shared" si="3"/>
        <v/>
      </c>
      <c r="O25" s="66" t="str">
        <f>IF(K25="","",((K25*VLOOKUP(F25,Tabelle1!$A$2:$I$496,8,0))/$W$4))</f>
        <v/>
      </c>
      <c r="P25" s="76" t="str">
        <f>IF(K25="","",VLOOKUP(F25,Tabelle1!$A$2:$L$496,12,0))</f>
        <v/>
      </c>
    </row>
    <row r="26" spans="1:22">
      <c r="A26" s="67"/>
      <c r="B26" s="55"/>
      <c r="C26" s="55"/>
      <c r="D26" s="57" t="str">
        <f>IF(K26="","",VLOOKUP(F26,Tabelle1!$A$2:$C$496,3,0))</f>
        <v/>
      </c>
      <c r="E26" s="57" t="str">
        <f>IF(K26="","",VLOOKUP(F26,Tabelle1!$A$2:$M$496,13,0))</f>
        <v/>
      </c>
      <c r="F26" s="56"/>
      <c r="G26" s="57"/>
      <c r="H26" s="57"/>
      <c r="I26" s="57"/>
      <c r="J26" s="57"/>
      <c r="K26" s="57"/>
      <c r="L26" s="118" t="str">
        <f>IF(K26="","",VLOOKUP(F26,Tabelle1!$A$2:$I$496,9,0))</f>
        <v/>
      </c>
      <c r="M26" s="57" t="str">
        <f>IF(K26="","",VLOOKUP(F26,Tabelle1!$A$2:$G$496,7,0))</f>
        <v/>
      </c>
      <c r="N26" s="66" t="str">
        <f t="shared" si="3"/>
        <v/>
      </c>
      <c r="O26" s="66" t="str">
        <f>IF(K26="","",((K26*VLOOKUP(F26,Tabelle1!$A$2:$I$496,8,0))/$W$4))</f>
        <v/>
      </c>
      <c r="P26" s="76" t="str">
        <f>IF(K26="","",VLOOKUP(F26,Tabelle1!$A$2:$L$496,12,0))</f>
        <v/>
      </c>
    </row>
    <row r="27" spans="1:22">
      <c r="A27" s="67"/>
      <c r="B27" s="55"/>
      <c r="C27" s="55"/>
      <c r="D27" s="57" t="str">
        <f>IF(K27="","",VLOOKUP(F27,Tabelle1!$A$2:$C$496,3,0))</f>
        <v/>
      </c>
      <c r="E27" s="57" t="str">
        <f>IF(K27="","",VLOOKUP(F27,Tabelle1!$A$2:$M$496,13,0))</f>
        <v/>
      </c>
      <c r="F27" s="56"/>
      <c r="G27" s="57"/>
      <c r="H27" s="57"/>
      <c r="I27" s="57"/>
      <c r="J27" s="57"/>
      <c r="K27" s="57"/>
      <c r="L27" s="118" t="str">
        <f>IF(K27="","",VLOOKUP(F27,Tabelle1!$A$2:$I$496,9,0))</f>
        <v/>
      </c>
      <c r="M27" s="57" t="str">
        <f>IF(K27="","",VLOOKUP(F27,Tabelle1!$A$2:$G$496,7,0))</f>
        <v/>
      </c>
      <c r="N27" s="66" t="str">
        <f t="shared" si="3"/>
        <v/>
      </c>
      <c r="O27" s="66" t="str">
        <f>IF(K27="","",((K27*VLOOKUP(F27,Tabelle1!$A$2:$I$496,8,0))/$W$4))</f>
        <v/>
      </c>
      <c r="P27" s="76" t="str">
        <f>IF(K27="","",VLOOKUP(F27,Tabelle1!$A$2:$L$496,12,0))</f>
        <v/>
      </c>
    </row>
    <row r="28" spans="1:22">
      <c r="A28" s="67"/>
      <c r="B28" s="55"/>
      <c r="C28" s="55"/>
      <c r="D28" s="57" t="str">
        <f>IF(K28="","",VLOOKUP(F28,Tabelle1!$A$2:$C$496,3,0))</f>
        <v/>
      </c>
      <c r="E28" s="57" t="str">
        <f>IF(K28="","",VLOOKUP(F28,Tabelle1!$A$2:$M$496,13,0))</f>
        <v/>
      </c>
      <c r="F28" s="56"/>
      <c r="G28" s="57"/>
      <c r="H28" s="57"/>
      <c r="I28" s="57"/>
      <c r="J28" s="57"/>
      <c r="K28" s="57"/>
      <c r="L28" s="118" t="str">
        <f>IF(K28="","",VLOOKUP(F28,Tabelle1!$A$2:$I$496,9,0))</f>
        <v/>
      </c>
      <c r="M28" s="57" t="str">
        <f>IF(K28="","",VLOOKUP(F28,Tabelle1!$A$2:$G$496,7,0))</f>
        <v/>
      </c>
      <c r="N28" s="66" t="str">
        <f t="shared" si="3"/>
        <v/>
      </c>
      <c r="O28" s="66" t="str">
        <f>IF(K28="","",((K28*VLOOKUP(F28,Tabelle1!$A$2:$I$496,8,0))/$W$4))</f>
        <v/>
      </c>
      <c r="P28" s="76" t="str">
        <f>IF(K28="","",VLOOKUP(F28,Tabelle1!$A$2:$L$496,12,0))</f>
        <v/>
      </c>
    </row>
    <row r="29" spans="1:22">
      <c r="A29" s="67"/>
      <c r="B29" s="55"/>
      <c r="C29" s="55"/>
      <c r="D29" s="57" t="str">
        <f>IF(K29="","",VLOOKUP(F29,Tabelle1!$A$2:$C$496,3,0))</f>
        <v/>
      </c>
      <c r="E29" s="57" t="str">
        <f>IF(K29="","",VLOOKUP(F29,Tabelle1!$A$2:$M$496,13,0))</f>
        <v/>
      </c>
      <c r="F29" s="56"/>
      <c r="G29" s="57"/>
      <c r="H29" s="57"/>
      <c r="I29" s="57"/>
      <c r="J29" s="57"/>
      <c r="K29" s="57"/>
      <c r="L29" s="118" t="str">
        <f>IF(K29="","",VLOOKUP(F29,Tabelle1!$A$2:$I$496,9,0))</f>
        <v/>
      </c>
      <c r="M29" s="57" t="str">
        <f>IF(K29="","",VLOOKUP(F29,Tabelle1!$A$2:$G$496,7,0))</f>
        <v/>
      </c>
      <c r="N29" s="66" t="str">
        <f t="shared" si="3"/>
        <v/>
      </c>
      <c r="O29" s="66" t="str">
        <f>IF(K29="","",((K29*VLOOKUP(F29,Tabelle1!$A$2:$I$496,8,0))/$W$4))</f>
        <v/>
      </c>
      <c r="P29" s="76" t="str">
        <f>IF(K29="","",VLOOKUP(F29,Tabelle1!$A$2:$L$496,12,0))</f>
        <v/>
      </c>
    </row>
    <row r="30" spans="1:22">
      <c r="A30" s="67"/>
      <c r="B30" s="55"/>
      <c r="C30" s="55"/>
      <c r="D30" s="57" t="str">
        <f>IF(K30="","",VLOOKUP(F30,Tabelle1!$A$2:$C$496,3,0))</f>
        <v/>
      </c>
      <c r="E30" s="57" t="str">
        <f>IF(K30="","",VLOOKUP(F30,Tabelle1!$A$2:$M$496,13,0))</f>
        <v/>
      </c>
      <c r="F30" s="56"/>
      <c r="G30" s="57"/>
      <c r="H30" s="57"/>
      <c r="I30" s="57"/>
      <c r="J30" s="57"/>
      <c r="K30" s="57"/>
      <c r="L30" s="118" t="str">
        <f>IF(K30="","",VLOOKUP(F30,Tabelle1!$A$2:$I$496,9,0))</f>
        <v/>
      </c>
      <c r="M30" s="57" t="str">
        <f>IF(K30="","",VLOOKUP(F30,Tabelle1!$A$2:$G$496,7,0))</f>
        <v/>
      </c>
      <c r="N30" s="66" t="str">
        <f t="shared" si="3"/>
        <v/>
      </c>
      <c r="O30" s="66" t="str">
        <f>IF(K30="","",((K30*VLOOKUP(F30,Tabelle1!$A$2:$I$496,8,0))/$W$4))</f>
        <v/>
      </c>
      <c r="P30" s="76" t="str">
        <f>IF(K30="","",VLOOKUP(F30,Tabelle1!$A$2:$L$496,12,0))</f>
        <v/>
      </c>
    </row>
    <row r="31" spans="1:22">
      <c r="A31" s="67"/>
      <c r="B31" s="55"/>
      <c r="C31" s="55"/>
      <c r="D31" s="57" t="str">
        <f>IF(K31="","",VLOOKUP(F31,Tabelle1!$A$2:$C$496,3,0))</f>
        <v/>
      </c>
      <c r="E31" s="57" t="str">
        <f>IF(K31="","",VLOOKUP(F31,Tabelle1!$A$2:$M$496,13,0))</f>
        <v/>
      </c>
      <c r="F31" s="56"/>
      <c r="G31" s="57"/>
      <c r="H31" s="57"/>
      <c r="I31" s="57"/>
      <c r="J31" s="57"/>
      <c r="K31" s="57"/>
      <c r="L31" s="118" t="str">
        <f>IF(K31="","",VLOOKUP(F31,Tabelle1!$A$2:$I$496,9,0))</f>
        <v/>
      </c>
      <c r="M31" s="57" t="str">
        <f>IF(K31="","",VLOOKUP(F31,Tabelle1!$A$2:$G$496,7,0))</f>
        <v/>
      </c>
      <c r="N31" s="66" t="str">
        <f t="shared" si="3"/>
        <v/>
      </c>
      <c r="O31" s="66" t="str">
        <f>IF(K31="","",((K31*VLOOKUP(F31,Tabelle1!$A$2:$I$496,8,0))/$W$4))</f>
        <v/>
      </c>
      <c r="P31" s="76" t="str">
        <f>IF(K31="","",VLOOKUP(F31,Tabelle1!$A$2:$L$496,12,0))</f>
        <v/>
      </c>
    </row>
    <row r="32" spans="1:22">
      <c r="A32" s="67"/>
      <c r="B32" s="55"/>
      <c r="C32" s="55"/>
      <c r="D32" s="57" t="str">
        <f>IF(K32="","",VLOOKUP(F32,Tabelle1!$A$2:$C$496,3,0))</f>
        <v/>
      </c>
      <c r="E32" s="57" t="str">
        <f>IF(K32="","",VLOOKUP(F32,Tabelle1!$A$2:$M$496,13,0))</f>
        <v/>
      </c>
      <c r="F32" s="56"/>
      <c r="G32" s="57"/>
      <c r="H32" s="57"/>
      <c r="I32" s="57"/>
      <c r="J32" s="57"/>
      <c r="K32" s="57"/>
      <c r="L32" s="118" t="str">
        <f>IF(K32="","",VLOOKUP(F32,Tabelle1!$A$2:$I$496,9,0))</f>
        <v/>
      </c>
      <c r="M32" s="57" t="str">
        <f>IF(K32="","",VLOOKUP(F32,Tabelle1!$A$2:$G$496,7,0))</f>
        <v/>
      </c>
      <c r="N32" s="66" t="str">
        <f t="shared" si="3"/>
        <v/>
      </c>
      <c r="O32" s="66" t="str">
        <f>IF(K32="","",((K32*VLOOKUP(F32,Tabelle1!$A$2:$I$496,8,0))/$W$4))</f>
        <v/>
      </c>
      <c r="P32" s="76" t="str">
        <f>IF(K32="","",VLOOKUP(F32,Tabelle1!$A$2:$L$496,12,0))</f>
        <v/>
      </c>
    </row>
    <row r="33" spans="1:25">
      <c r="A33" s="67"/>
      <c r="B33" s="55"/>
      <c r="C33" s="55"/>
      <c r="D33" s="57" t="str">
        <f>IF(K33="","",VLOOKUP(F33,Tabelle1!$A$2:$C$496,3,0))</f>
        <v/>
      </c>
      <c r="E33" s="57" t="str">
        <f>IF(K33="","",VLOOKUP(F33,Tabelle1!$A$2:$M$496,13,0))</f>
        <v/>
      </c>
      <c r="F33" s="56"/>
      <c r="G33" s="57"/>
      <c r="H33" s="57"/>
      <c r="I33" s="57"/>
      <c r="J33" s="57"/>
      <c r="K33" s="57"/>
      <c r="L33" s="118" t="str">
        <f>IF(K33="","",VLOOKUP(F33,Tabelle1!$A$2:$I$496,9,0))</f>
        <v/>
      </c>
      <c r="M33" s="57" t="str">
        <f>IF(K33="","",VLOOKUP(F33,Tabelle1!$A$2:$G$496,7,0))</f>
        <v/>
      </c>
      <c r="N33" s="66" t="str">
        <f t="shared" si="3"/>
        <v/>
      </c>
      <c r="O33" s="66" t="str">
        <f>IF(K33="","",((K33*VLOOKUP(F33,Tabelle1!$A$2:$I$496,8,0))/$W$4))</f>
        <v/>
      </c>
      <c r="P33" s="76" t="str">
        <f>IF(K33="","",VLOOKUP(F33,Tabelle1!$A$2:$L$496,12,0))</f>
        <v/>
      </c>
    </row>
    <row r="34" spans="1:25">
      <c r="A34" s="67"/>
      <c r="B34" s="55"/>
      <c r="C34" s="55"/>
      <c r="D34" s="57" t="str">
        <f>IF(K34="","",VLOOKUP(F34,Tabelle1!$A$2:$C$496,3,0))</f>
        <v/>
      </c>
      <c r="E34" s="57" t="str">
        <f>IF(K34="","",VLOOKUP(F34,Tabelle1!$A$2:$M$496,13,0))</f>
        <v/>
      </c>
      <c r="F34" s="56"/>
      <c r="G34" s="57"/>
      <c r="H34" s="57"/>
      <c r="I34" s="57"/>
      <c r="J34" s="57"/>
      <c r="K34" s="57"/>
      <c r="L34" s="118" t="str">
        <f>IF(K34="","",VLOOKUP(F34,Tabelle1!$A$2:$I$496,9,0))</f>
        <v/>
      </c>
      <c r="M34" s="57" t="str">
        <f>IF(K34="","",VLOOKUP(F34,Tabelle1!$A$2:$G$496,7,0))</f>
        <v/>
      </c>
      <c r="N34" s="66" t="str">
        <f t="shared" si="3"/>
        <v/>
      </c>
      <c r="O34" s="66" t="str">
        <f>IF(K34="","",((K34*VLOOKUP(F34,Tabelle1!$A$2:$I$496,8,0))/$W$4))</f>
        <v/>
      </c>
      <c r="P34" s="76" t="str">
        <f>IF(K34="","",VLOOKUP(F34,Tabelle1!$A$2:$L$496,12,0))</f>
        <v/>
      </c>
    </row>
    <row r="35" spans="1:25">
      <c r="A35" s="67"/>
      <c r="B35" s="55"/>
      <c r="C35" s="55"/>
      <c r="D35" s="57" t="str">
        <f>IF(K35="","",VLOOKUP(F35,Tabelle1!$A$2:$C$496,3,0))</f>
        <v/>
      </c>
      <c r="E35" s="57" t="str">
        <f>IF(K35="","",VLOOKUP(F35,Tabelle1!$A$2:$M$496,13,0))</f>
        <v/>
      </c>
      <c r="F35" s="56"/>
      <c r="G35" s="57"/>
      <c r="H35" s="57"/>
      <c r="I35" s="57"/>
      <c r="J35" s="57"/>
      <c r="K35" s="57"/>
      <c r="L35" s="118" t="str">
        <f>IF(K35="","",VLOOKUP(F35,Tabelle1!$A$2:$I$496,9,0))</f>
        <v/>
      </c>
      <c r="M35" s="57" t="str">
        <f>IF(K35="","",VLOOKUP(F35,Tabelle1!$A$2:$G$496,7,0))</f>
        <v/>
      </c>
      <c r="N35" s="66" t="str">
        <f t="shared" si="3"/>
        <v/>
      </c>
      <c r="O35" s="66" t="str">
        <f>IF(K35="","",((K35*VLOOKUP(F35,Tabelle1!$A$2:$I$496,8,0))/$W$4))</f>
        <v/>
      </c>
      <c r="P35" s="76" t="str">
        <f>IF(K35="","",VLOOKUP(F35,Tabelle1!$A$2:$L$496,12,0))</f>
        <v/>
      </c>
    </row>
    <row r="36" spans="1:25">
      <c r="A36" s="67"/>
      <c r="B36" s="55"/>
      <c r="C36" s="55"/>
      <c r="D36" s="57" t="str">
        <f>IF(K36="","",VLOOKUP(F36,Tabelle1!$A$2:$C$496,3,0))</f>
        <v/>
      </c>
      <c r="E36" s="57" t="str">
        <f>IF(K36="","",VLOOKUP(F36,Tabelle1!$A$2:$M$496,13,0))</f>
        <v/>
      </c>
      <c r="F36" s="56"/>
      <c r="G36" s="57"/>
      <c r="H36" s="57"/>
      <c r="I36" s="57"/>
      <c r="J36" s="57"/>
      <c r="K36" s="57"/>
      <c r="L36" s="118" t="str">
        <f>IF(K36="","",VLOOKUP(F36,Tabelle1!$A$2:$I$496,9,0))</f>
        <v/>
      </c>
      <c r="M36" s="57" t="str">
        <f>IF(K36="","",VLOOKUP(F36,Tabelle1!$A$2:$G$496,7,0))</f>
        <v/>
      </c>
      <c r="N36" s="66" t="str">
        <f t="shared" si="3"/>
        <v/>
      </c>
      <c r="O36" s="66" t="str">
        <f>IF(K36="","",((K36*VLOOKUP(F36,Tabelle1!$A$2:$I$496,8,0))/$W$4))</f>
        <v/>
      </c>
      <c r="P36" s="76" t="str">
        <f>IF(K36="","",VLOOKUP(F36,Tabelle1!$A$2:$L$496,12,0))</f>
        <v/>
      </c>
    </row>
    <row r="37" spans="1:25">
      <c r="A37" s="67"/>
      <c r="B37" s="55"/>
      <c r="C37" s="55"/>
      <c r="D37" s="57" t="str">
        <f>IF(K37="","",VLOOKUP(F37,Tabelle1!$A$2:$C$496,3,0))</f>
        <v/>
      </c>
      <c r="E37" s="57" t="str">
        <f>IF(K37="","",VLOOKUP(F37,Tabelle1!$A$2:$M$496,13,0))</f>
        <v/>
      </c>
      <c r="F37" s="56"/>
      <c r="G37" s="57"/>
      <c r="H37" s="57"/>
      <c r="I37" s="57"/>
      <c r="J37" s="57"/>
      <c r="K37" s="57"/>
      <c r="L37" s="118" t="str">
        <f>IF(K37="","",VLOOKUP(F37,Tabelle1!$A$2:$I$496,9,0))</f>
        <v/>
      </c>
      <c r="M37" s="57" t="str">
        <f>IF(K37="","",VLOOKUP(F37,Tabelle1!$A$2:$G$496,7,0))</f>
        <v/>
      </c>
      <c r="N37" s="66" t="str">
        <f t="shared" si="3"/>
        <v/>
      </c>
      <c r="O37" s="66" t="str">
        <f>IF(K37="","",((K37*VLOOKUP(F37,Tabelle1!$A$2:$I$496,8,0))/$W$4))</f>
        <v/>
      </c>
      <c r="P37" s="76" t="str">
        <f>IF(K37="","",VLOOKUP(F37,Tabelle1!$A$2:$L$496,12,0))</f>
        <v/>
      </c>
    </row>
    <row r="38" spans="1:25">
      <c r="A38" s="67"/>
      <c r="B38" s="55"/>
      <c r="C38" s="55"/>
      <c r="D38" s="57" t="str">
        <f>IF(K38="","",VLOOKUP(F38,Tabelle1!$A$2:$C$496,3,0))</f>
        <v/>
      </c>
      <c r="E38" s="57" t="str">
        <f>IF(K38="","",VLOOKUP(F38,Tabelle1!$A$2:$M$496,13,0))</f>
        <v/>
      </c>
      <c r="F38" s="56"/>
      <c r="G38" s="57"/>
      <c r="H38" s="57"/>
      <c r="I38" s="57"/>
      <c r="J38" s="57"/>
      <c r="K38" s="57"/>
      <c r="L38" s="118" t="str">
        <f>IF(K38="","",VLOOKUP(F38,Tabelle1!$A$2:$I$496,9,0))</f>
        <v/>
      </c>
      <c r="M38" s="57" t="str">
        <f>IF(K38="","",VLOOKUP(F38,Tabelle1!$A$2:$G$496,7,0))</f>
        <v/>
      </c>
      <c r="N38" s="66" t="str">
        <f t="shared" si="3"/>
        <v/>
      </c>
      <c r="O38" s="66" t="str">
        <f>IF(K38="","",((K38*VLOOKUP(F38,Tabelle1!$A$2:$I$496,8,0))/$W$4))</f>
        <v/>
      </c>
      <c r="P38" s="76" t="str">
        <f>IF(K38="","",VLOOKUP(F38,Tabelle1!$A$2:$L$496,12,0))</f>
        <v/>
      </c>
    </row>
    <row r="39" spans="1:25">
      <c r="A39" s="67"/>
      <c r="B39" s="55"/>
      <c r="C39" s="55"/>
      <c r="D39" s="57" t="str">
        <f>IF(K39="","",VLOOKUP(F39,Tabelle1!$A$2:$C$496,3,0))</f>
        <v/>
      </c>
      <c r="E39" s="57" t="str">
        <f>IF(K39="","",VLOOKUP(F39,Tabelle1!$A$2:$M$496,13,0))</f>
        <v/>
      </c>
      <c r="F39" s="56"/>
      <c r="G39" s="57"/>
      <c r="H39" s="57"/>
      <c r="I39" s="57"/>
      <c r="J39" s="57"/>
      <c r="K39" s="57"/>
      <c r="L39" s="118" t="str">
        <f>IF(K39="","",VLOOKUP(F39,Tabelle1!$A$2:$I$496,9,0))</f>
        <v/>
      </c>
      <c r="M39" s="57" t="str">
        <f>IF(K39="","",VLOOKUP(F39,Tabelle1!$A$2:$G$496,7,0))</f>
        <v/>
      </c>
      <c r="N39" s="66" t="str">
        <f t="shared" si="3"/>
        <v/>
      </c>
      <c r="O39" s="66" t="str">
        <f>IF(K39="","",((K39*VLOOKUP(F39,Tabelle1!$A$2:$I$496,8,0))/$W$4))</f>
        <v/>
      </c>
      <c r="P39" s="76" t="str">
        <f>IF(K39="","",VLOOKUP(F39,Tabelle1!$A$2:$L$496,12,0))</f>
        <v/>
      </c>
    </row>
    <row r="40" spans="1:25">
      <c r="A40" s="67"/>
      <c r="B40" s="55"/>
      <c r="C40" s="55"/>
      <c r="D40" s="57" t="str">
        <f>IF(K40="","",VLOOKUP(F40,Tabelle1!$A$2:$C$496,3,0))</f>
        <v/>
      </c>
      <c r="E40" s="57" t="str">
        <f>IF(K40="","",VLOOKUP(F40,Tabelle1!$A$2:$M$496,13,0))</f>
        <v/>
      </c>
      <c r="F40" s="56"/>
      <c r="G40" s="57"/>
      <c r="H40" s="57"/>
      <c r="I40" s="57"/>
      <c r="J40" s="57"/>
      <c r="K40" s="57"/>
      <c r="L40" s="118" t="str">
        <f>IF(K40="","",VLOOKUP(F40,Tabelle1!$A$2:$I$496,9,0))</f>
        <v/>
      </c>
      <c r="M40" s="57" t="str">
        <f>IF(K40="","",VLOOKUP(F40,Tabelle1!$A$2:$G$496,7,0))</f>
        <v/>
      </c>
      <c r="N40" s="66" t="str">
        <f t="shared" si="3"/>
        <v/>
      </c>
      <c r="O40" s="66" t="str">
        <f>IF(K40="","",((K40*VLOOKUP(F40,Tabelle1!$A$2:$I$496,8,0))/$W$4))</f>
        <v/>
      </c>
      <c r="P40" s="76" t="str">
        <f>IF(K40="","",VLOOKUP(F40,Tabelle1!$A$2:$L$496,12,0))</f>
        <v/>
      </c>
    </row>
    <row r="41" spans="1:25">
      <c r="A41" s="67"/>
      <c r="B41" s="55"/>
      <c r="C41" s="55"/>
      <c r="D41" s="57" t="str">
        <f>IF(K41="","",VLOOKUP(F41,Tabelle1!$A$2:$C$496,3,0))</f>
        <v/>
      </c>
      <c r="E41" s="57" t="str">
        <f>IF(K41="","",VLOOKUP(F41,Tabelle1!$A$2:$M$496,13,0))</f>
        <v/>
      </c>
      <c r="F41" s="56"/>
      <c r="G41" s="57"/>
      <c r="H41" s="57"/>
      <c r="I41" s="57"/>
      <c r="J41" s="57"/>
      <c r="K41" s="57"/>
      <c r="L41" s="118" t="str">
        <f>IF(K41="","",VLOOKUP(F41,Tabelle1!$A$2:$I$496,9,0))</f>
        <v/>
      </c>
      <c r="M41" s="57" t="str">
        <f>IF(K41="","",VLOOKUP(F41,Tabelle1!$A$2:$G$496,7,0))</f>
        <v/>
      </c>
      <c r="N41" s="66" t="str">
        <f t="shared" si="3"/>
        <v/>
      </c>
      <c r="O41" s="66" t="str">
        <f>IF(K41="","",((K41*VLOOKUP(F41,Tabelle1!$A$2:$I$496,8,0))/$W$4))</f>
        <v/>
      </c>
      <c r="P41" s="76" t="str">
        <f>IF(K41="","",VLOOKUP(F41,Tabelle1!$A$2:$L$496,12,0))</f>
        <v/>
      </c>
    </row>
    <row r="42" spans="1:25" ht="18.5">
      <c r="A42" s="67"/>
      <c r="B42" s="55"/>
      <c r="C42" s="55"/>
      <c r="D42" s="57" t="str">
        <f>IF(K42="","",VLOOKUP(F42,Tabelle1!$A$2:$C$496,3,0))</f>
        <v/>
      </c>
      <c r="E42" s="57" t="str">
        <f>IF(K42="","",VLOOKUP(F42,Tabelle1!$A$2:$M$496,13,0))</f>
        <v/>
      </c>
      <c r="F42" s="56"/>
      <c r="G42" s="57"/>
      <c r="H42" s="57"/>
      <c r="I42" s="57"/>
      <c r="J42" s="57"/>
      <c r="K42" s="57"/>
      <c r="L42" s="118" t="str">
        <f>IF(K42="","",VLOOKUP(F42,Tabelle1!$A$2:$I$496,9,0))</f>
        <v/>
      </c>
      <c r="M42" s="57" t="str">
        <f>IF(K42="","",VLOOKUP(F42,Tabelle1!$A$2:$G$496,7,0))</f>
        <v/>
      </c>
      <c r="N42" s="66" t="str">
        <f t="shared" si="3"/>
        <v/>
      </c>
      <c r="O42" s="66" t="str">
        <f>IF(K42="","",((K42*VLOOKUP(F42,Tabelle1!$A$2:$I$496,8,0))/$W$4))</f>
        <v/>
      </c>
      <c r="P42" s="76" t="str">
        <f>IF(K42="","",VLOOKUP(F42,Tabelle1!$A$2:$L$496,12,0))</f>
        <v/>
      </c>
      <c r="R42" s="150" t="s">
        <v>393</v>
      </c>
      <c r="S42" s="150"/>
      <c r="T42" s="8"/>
      <c r="Y42" s="4"/>
    </row>
    <row r="43" spans="1:25" ht="18.5">
      <c r="A43" s="67"/>
      <c r="B43" s="55"/>
      <c r="C43" s="55"/>
      <c r="D43" s="57" t="str">
        <f>IF(K43="","",VLOOKUP(F43,Tabelle1!$A$2:$C$496,3,0))</f>
        <v/>
      </c>
      <c r="E43" s="57" t="str">
        <f>IF(K43="","",VLOOKUP(F43,Tabelle1!$A$2:$M$496,13,0))</f>
        <v/>
      </c>
      <c r="F43" s="56"/>
      <c r="G43" s="57"/>
      <c r="H43" s="57"/>
      <c r="I43" s="57"/>
      <c r="J43" s="57"/>
      <c r="K43" s="57"/>
      <c r="L43" s="118" t="str">
        <f>IF(K43="","",VLOOKUP(F43,Tabelle1!$A$2:$I$496,9,0))</f>
        <v/>
      </c>
      <c r="M43" s="57" t="str">
        <f>IF(K43="","",VLOOKUP(F43,Tabelle1!$A$2:$G$496,7,0))</f>
        <v/>
      </c>
      <c r="N43" s="66" t="str">
        <f t="shared" si="3"/>
        <v/>
      </c>
      <c r="O43" s="66" t="str">
        <f>IF(K43="","",((K43*VLOOKUP(F43,Tabelle1!$A$2:$I$496,8,0))/$W$4))</f>
        <v/>
      </c>
      <c r="P43" s="76" t="str">
        <f>IF(K43="","",VLOOKUP(F43,Tabelle1!$A$2:$L$496,12,0))</f>
        <v/>
      </c>
      <c r="R43" s="6"/>
      <c r="S43" s="5"/>
      <c r="T43" s="9"/>
      <c r="Y43" s="4"/>
    </row>
    <row r="44" spans="1:25">
      <c r="A44" s="67"/>
      <c r="B44" s="55"/>
      <c r="C44" s="55"/>
      <c r="D44" s="57" t="str">
        <f>IF(K44="","",VLOOKUP(F44,Tabelle1!$A$2:$C$496,3,0))</f>
        <v/>
      </c>
      <c r="E44" s="57" t="str">
        <f>IF(K44="","",VLOOKUP(F44,Tabelle1!$A$2:$M$496,13,0))</f>
        <v/>
      </c>
      <c r="F44" s="56"/>
      <c r="G44" s="57"/>
      <c r="H44" s="57"/>
      <c r="I44" s="57"/>
      <c r="J44" s="57"/>
      <c r="K44" s="57"/>
      <c r="L44" s="118" t="str">
        <f>IF(K44="","",VLOOKUP(F44,Tabelle1!$A$2:$I$496,9,0))</f>
        <v/>
      </c>
      <c r="M44" s="57" t="str">
        <f>IF(K44="","",VLOOKUP(F44,Tabelle1!$A$2:$G$496,7,0))</f>
        <v/>
      </c>
      <c r="N44" s="66" t="str">
        <f t="shared" si="3"/>
        <v/>
      </c>
      <c r="O44" s="66" t="str">
        <f>IF(K44="","",((K44*VLOOKUP(F44,Tabelle1!$A$2:$I$496,8,0))/$W$4))</f>
        <v/>
      </c>
      <c r="P44" s="76" t="str">
        <f>IF(K44="","",VLOOKUP(F44,Tabelle1!$A$2:$L$496,12,0))</f>
        <v/>
      </c>
      <c r="R44" s="3" t="s">
        <v>357</v>
      </c>
      <c r="S44" s="12" t="s">
        <v>358</v>
      </c>
      <c r="T44" s="7"/>
      <c r="U44" s="48" t="s">
        <v>8</v>
      </c>
    </row>
    <row r="45" spans="1:25">
      <c r="A45" s="67"/>
      <c r="B45" s="55"/>
      <c r="C45" s="55"/>
      <c r="D45" s="57" t="str">
        <f>IF(K45="","",VLOOKUP(F45,Tabelle1!$A$2:$C$496,3,0))</f>
        <v/>
      </c>
      <c r="E45" s="57" t="str">
        <f>IF(K45="","",VLOOKUP(F45,Tabelle1!$A$2:$M$496,13,0))</f>
        <v/>
      </c>
      <c r="F45" s="56"/>
      <c r="G45" s="57"/>
      <c r="H45" s="57"/>
      <c r="I45" s="57"/>
      <c r="J45" s="57"/>
      <c r="K45" s="57"/>
      <c r="L45" s="118" t="str">
        <f>IF(K45="","",VLOOKUP(F45,Tabelle1!$A$2:$I$496,9,0))</f>
        <v/>
      </c>
      <c r="M45" s="57" t="str">
        <f>IF(K45="","",VLOOKUP(F45,Tabelle1!$A$2:$G$496,7,0))</f>
        <v/>
      </c>
      <c r="N45" s="66" t="str">
        <f t="shared" si="3"/>
        <v/>
      </c>
      <c r="O45" s="66" t="str">
        <f>IF(K45="","",((K45*VLOOKUP(F45,Tabelle1!$A$2:$I$496,8,0))/$W$4))</f>
        <v/>
      </c>
      <c r="P45" s="76" t="str">
        <f>IF(K45="","",VLOOKUP(F45,Tabelle1!$A$2:$L$496,12,0))</f>
        <v/>
      </c>
      <c r="R45" s="10"/>
      <c r="S45" s="146" t="s">
        <v>353</v>
      </c>
      <c r="T45" s="147"/>
      <c r="U45" s="2">
        <f>(S47*T47)+(S48*T48)+(S49*T49)+(S50*T50)+(S51*T51)+(S52*T52)</f>
        <v>0</v>
      </c>
    </row>
    <row r="46" spans="1:25">
      <c r="A46" s="67"/>
      <c r="B46" s="55"/>
      <c r="C46" s="55"/>
      <c r="D46" s="57" t="str">
        <f>IF(K46="","",VLOOKUP(F46,Tabelle1!$A$2:$C$496,3,0))</f>
        <v/>
      </c>
      <c r="E46" s="57" t="str">
        <f>IF(K46="","",VLOOKUP(F46,Tabelle1!$A$2:$M$496,13,0))</f>
        <v/>
      </c>
      <c r="F46" s="56"/>
      <c r="G46" s="57"/>
      <c r="H46" s="57"/>
      <c r="I46" s="57"/>
      <c r="J46" s="57"/>
      <c r="K46" s="57"/>
      <c r="L46" s="118" t="str">
        <f>IF(K46="","",VLOOKUP(F46,Tabelle1!$A$2:$I$496,9,0))</f>
        <v/>
      </c>
      <c r="M46" s="57" t="str">
        <f>IF(K46="","",VLOOKUP(F46,Tabelle1!$A$2:$G$496,7,0))</f>
        <v/>
      </c>
      <c r="N46" s="66" t="str">
        <f t="shared" si="3"/>
        <v/>
      </c>
      <c r="O46" s="66" t="str">
        <f>IF(K46="","",((K46*VLOOKUP(F46,Tabelle1!$A$2:$I$496,8,0))/$W$4))</f>
        <v/>
      </c>
      <c r="P46" s="76" t="str">
        <f>IF(K46="","",VLOOKUP(F46,Tabelle1!$A$2:$L$496,12,0))</f>
        <v/>
      </c>
      <c r="R46" s="3" t="s">
        <v>356</v>
      </c>
      <c r="S46" s="3" t="s">
        <v>354</v>
      </c>
      <c r="T46" s="3" t="s">
        <v>355</v>
      </c>
      <c r="Y46" s="4"/>
    </row>
    <row r="47" spans="1:25">
      <c r="A47" s="67"/>
      <c r="B47" s="55"/>
      <c r="C47" s="55"/>
      <c r="D47" s="57" t="str">
        <f>IF(K47="","",VLOOKUP(F47,Tabelle1!$A$2:$C$496,3,0))</f>
        <v/>
      </c>
      <c r="E47" s="57" t="str">
        <f>IF(K47="","",VLOOKUP(F47,Tabelle1!$A$2:$M$496,13,0))</f>
        <v/>
      </c>
      <c r="F47" s="56"/>
      <c r="G47" s="57"/>
      <c r="H47" s="57"/>
      <c r="I47" s="57"/>
      <c r="J47" s="57"/>
      <c r="K47" s="57"/>
      <c r="L47" s="118" t="str">
        <f>IF(K47="","",VLOOKUP(F47,Tabelle1!$A$2:$I$496,9,0))</f>
        <v/>
      </c>
      <c r="M47" s="57" t="str">
        <f>IF(K47="","",VLOOKUP(F47,Tabelle1!$A$2:$G$496,7,0))</f>
        <v/>
      </c>
      <c r="N47" s="66" t="str">
        <f t="shared" si="3"/>
        <v/>
      </c>
      <c r="O47" s="66" t="str">
        <f>IF(K47="","",((K47*VLOOKUP(F47,Tabelle1!$A$2:$I$496,8,0))/$W$4))</f>
        <v/>
      </c>
      <c r="P47" s="76" t="str">
        <f>IF(K47="","",VLOOKUP(F47,Tabelle1!$A$2:$L$496,12,0))</f>
        <v/>
      </c>
      <c r="R47" s="1" t="s">
        <v>348</v>
      </c>
      <c r="S47" s="50">
        <f>'Karta informacyjna'!D8</f>
        <v>0</v>
      </c>
      <c r="T47" s="50">
        <v>425</v>
      </c>
      <c r="Y47" s="4"/>
    </row>
    <row r="48" spans="1:25">
      <c r="A48" s="67"/>
      <c r="B48" s="55"/>
      <c r="C48" s="55"/>
      <c r="D48" s="57" t="str">
        <f>IF(K48="","",VLOOKUP(F48,Tabelle1!$A$2:$C$496,3,0))</f>
        <v/>
      </c>
      <c r="E48" s="57" t="str">
        <f>IF(K48="","",VLOOKUP(F48,Tabelle1!$A$2:$M$496,13,0))</f>
        <v/>
      </c>
      <c r="F48" s="56"/>
      <c r="G48" s="57"/>
      <c r="H48" s="57"/>
      <c r="I48" s="57"/>
      <c r="J48" s="57"/>
      <c r="K48" s="57"/>
      <c r="L48" s="118" t="str">
        <f>IF(K48="","",VLOOKUP(F48,Tabelle1!$A$2:$I$496,9,0))</f>
        <v/>
      </c>
      <c r="M48" s="57" t="str">
        <f>IF(K48="","",VLOOKUP(F48,Tabelle1!$A$2:$G$496,7,0))</f>
        <v/>
      </c>
      <c r="N48" s="66" t="str">
        <f t="shared" si="3"/>
        <v/>
      </c>
      <c r="O48" s="66" t="str">
        <f>IF(K48="","",((K48*VLOOKUP(F48,Tabelle1!$A$2:$I$496,8,0))/$W$4))</f>
        <v/>
      </c>
      <c r="P48" s="76" t="str">
        <f>IF(K48="","",VLOOKUP(F48,Tabelle1!$A$2:$L$496,12,0))</f>
        <v/>
      </c>
      <c r="R48" s="3" t="s">
        <v>349</v>
      </c>
      <c r="S48" s="50"/>
      <c r="T48" s="50"/>
      <c r="Y48" s="4"/>
    </row>
    <row r="49" spans="1:25">
      <c r="A49" s="67"/>
      <c r="B49" s="55"/>
      <c r="C49" s="55"/>
      <c r="D49" s="57" t="str">
        <f>IF(K49="","",VLOOKUP(F49,Tabelle1!$A$2:$C$496,3,0))</f>
        <v/>
      </c>
      <c r="E49" s="57" t="str">
        <f>IF(K49="","",VLOOKUP(F49,Tabelle1!$A$2:$M$496,13,0))</f>
        <v/>
      </c>
      <c r="F49" s="56"/>
      <c r="G49" s="57"/>
      <c r="H49" s="57"/>
      <c r="I49" s="57"/>
      <c r="J49" s="57"/>
      <c r="K49" s="57"/>
      <c r="L49" s="118" t="str">
        <f>IF(K49="","",VLOOKUP(F49,Tabelle1!$A$2:$I$496,9,0))</f>
        <v/>
      </c>
      <c r="M49" s="57" t="str">
        <f>IF(K49="","",VLOOKUP(F49,Tabelle1!$A$2:$G$496,7,0))</f>
        <v/>
      </c>
      <c r="N49" s="66" t="str">
        <f t="shared" si="3"/>
        <v/>
      </c>
      <c r="O49" s="66" t="str">
        <f>IF(K49="","",((K49*VLOOKUP(F49,Tabelle1!$A$2:$I$496,8,0))/$W$4))</f>
        <v/>
      </c>
      <c r="P49" s="76" t="str">
        <f>IF(K49="","",VLOOKUP(F49,Tabelle1!$A$2:$L$496,12,0))</f>
        <v/>
      </c>
      <c r="R49" s="3" t="s">
        <v>347</v>
      </c>
      <c r="S49" s="50">
        <f>'Karta informacyjna'!D10</f>
        <v>0</v>
      </c>
      <c r="T49" s="50">
        <v>140</v>
      </c>
      <c r="Y49" s="4"/>
    </row>
    <row r="50" spans="1:25">
      <c r="A50" s="67"/>
      <c r="B50" s="55"/>
      <c r="C50" s="55"/>
      <c r="D50" s="57" t="str">
        <f>IF(K50="","",VLOOKUP(F50,Tabelle1!$A$2:$C$496,3,0))</f>
        <v/>
      </c>
      <c r="E50" s="57" t="str">
        <f>IF(K50="","",VLOOKUP(F50,Tabelle1!$A$2:$M$496,13,0))</f>
        <v/>
      </c>
      <c r="F50" s="56"/>
      <c r="G50" s="57"/>
      <c r="H50" s="57"/>
      <c r="I50" s="57"/>
      <c r="J50" s="57"/>
      <c r="K50" s="57"/>
      <c r="L50" s="118" t="str">
        <f>IF(K50="","",VLOOKUP(F50,Tabelle1!$A$2:$I$496,9,0))</f>
        <v/>
      </c>
      <c r="M50" s="57" t="str">
        <f>IF(K50="","",VLOOKUP(F50,Tabelle1!$A$2:$G$496,7,0))</f>
        <v/>
      </c>
      <c r="N50" s="66" t="str">
        <f t="shared" si="3"/>
        <v/>
      </c>
      <c r="O50" s="66" t="str">
        <f>IF(K50="","",((K50*VLOOKUP(F50,Tabelle1!$A$2:$I$496,8,0))/$W$4))</f>
        <v/>
      </c>
      <c r="P50" s="76" t="str">
        <f>IF(K50="","",VLOOKUP(F50,Tabelle1!$A$2:$L$496,12,0))</f>
        <v/>
      </c>
      <c r="R50" s="3" t="s">
        <v>350</v>
      </c>
      <c r="S50" s="50">
        <f>'Karta informacyjna'!D9</f>
        <v>0</v>
      </c>
      <c r="T50" s="50">
        <v>200</v>
      </c>
      <c r="Y50" s="4"/>
    </row>
    <row r="51" spans="1:25">
      <c r="A51" s="67"/>
      <c r="B51" s="55"/>
      <c r="C51" s="55"/>
      <c r="D51" s="57" t="str">
        <f>IF(K51="","",VLOOKUP(F51,Tabelle1!$A$2:$C$496,3,0))</f>
        <v/>
      </c>
      <c r="E51" s="57" t="str">
        <f>IF(K51="","",VLOOKUP(F51,Tabelle1!$A$2:$M$496,13,0))</f>
        <v/>
      </c>
      <c r="F51" s="56"/>
      <c r="G51" s="57"/>
      <c r="H51" s="57"/>
      <c r="I51" s="57"/>
      <c r="J51" s="57"/>
      <c r="K51" s="57"/>
      <c r="L51" s="118" t="str">
        <f>IF(K51="","",VLOOKUP(F51,Tabelle1!$A$2:$I$496,9,0))</f>
        <v/>
      </c>
      <c r="M51" s="57" t="str">
        <f>IF(K51="","",VLOOKUP(F51,Tabelle1!$A$2:$G$496,7,0))</f>
        <v/>
      </c>
      <c r="N51" s="66" t="str">
        <f t="shared" si="3"/>
        <v/>
      </c>
      <c r="O51" s="66" t="str">
        <f>IF(K51="","",((K51*VLOOKUP(F51,Tabelle1!$A$2:$I$496,8,0))/$W$4))</f>
        <v/>
      </c>
      <c r="P51" s="76" t="str">
        <f>IF(K51="","",VLOOKUP(F51,Tabelle1!$A$2:$L$496,12,0))</f>
        <v/>
      </c>
      <c r="R51" s="3" t="s">
        <v>351</v>
      </c>
      <c r="S51" s="50"/>
      <c r="T51" s="50"/>
      <c r="Y51" s="4"/>
    </row>
    <row r="52" spans="1:25">
      <c r="A52" s="67"/>
      <c r="B52" s="55"/>
      <c r="C52" s="55"/>
      <c r="D52" s="57" t="str">
        <f>IF(K52="","",VLOOKUP(F52,Tabelle1!$A$2:$C$496,3,0))</f>
        <v/>
      </c>
      <c r="E52" s="57" t="str">
        <f>IF(K52="","",VLOOKUP(F52,Tabelle1!$A$2:$M$496,13,0))</f>
        <v/>
      </c>
      <c r="F52" s="56"/>
      <c r="G52" s="57"/>
      <c r="H52" s="57"/>
      <c r="I52" s="57"/>
      <c r="J52" s="57"/>
      <c r="K52" s="57"/>
      <c r="L52" s="118" t="str">
        <f>IF(K52="","",VLOOKUP(F52,Tabelle1!$A$2:$I$496,9,0))</f>
        <v/>
      </c>
      <c r="M52" s="57" t="str">
        <f>IF(K52="","",VLOOKUP(F52,Tabelle1!$A$2:$G$496,7,0))</f>
        <v/>
      </c>
      <c r="N52" s="66" t="str">
        <f t="shared" si="3"/>
        <v/>
      </c>
      <c r="O52" s="66" t="str">
        <f>IF(K52="","",((K52*VLOOKUP(F52,Tabelle1!$A$2:$I$496,8,0))/$W$4))</f>
        <v/>
      </c>
      <c r="P52" s="76" t="str">
        <f>IF(K52="","",VLOOKUP(F52,Tabelle1!$A$2:$L$496,12,0))</f>
        <v/>
      </c>
      <c r="R52" s="3" t="s">
        <v>352</v>
      </c>
      <c r="S52" s="50">
        <f>'Karta informacyjna'!D11</f>
        <v>0</v>
      </c>
      <c r="T52" s="50">
        <v>425</v>
      </c>
      <c r="Y52" s="4"/>
    </row>
    <row r="53" spans="1:25">
      <c r="A53" s="67"/>
      <c r="B53" s="55"/>
      <c r="C53" s="55"/>
      <c r="D53" s="57" t="str">
        <f>IF(K53="","",VLOOKUP(F53,Tabelle1!$A$2:$C$496,3,0))</f>
        <v/>
      </c>
      <c r="E53" s="57" t="str">
        <f>IF(K53="","",VLOOKUP(F53,Tabelle1!$A$2:$M$496,13,0))</f>
        <v/>
      </c>
      <c r="F53" s="56"/>
      <c r="G53" s="57"/>
      <c r="H53" s="57"/>
      <c r="I53" s="57"/>
      <c r="J53" s="57"/>
      <c r="K53" s="57"/>
      <c r="L53" s="118" t="str">
        <f>IF(K53="","",VLOOKUP(F53,Tabelle1!$A$2:$I$496,9,0))</f>
        <v/>
      </c>
      <c r="M53" s="57" t="str">
        <f>IF(K53="","",VLOOKUP(F53,Tabelle1!$A$2:$G$496,7,0))</f>
        <v/>
      </c>
      <c r="N53" s="66" t="str">
        <f t="shared" si="3"/>
        <v/>
      </c>
      <c r="O53" s="66" t="str">
        <f>IF(K53="","",((K53*VLOOKUP(F53,Tabelle1!$A$2:$I$496,8,0))/$W$4))</f>
        <v/>
      </c>
      <c r="P53" s="76" t="str">
        <f>IF(K53="","",VLOOKUP(F53,Tabelle1!$A$2:$L$496,12,0))</f>
        <v/>
      </c>
    </row>
    <row r="54" spans="1:25">
      <c r="A54" s="67"/>
      <c r="B54" s="55"/>
      <c r="C54" s="55"/>
      <c r="D54" s="57" t="str">
        <f>IF(K54="","",VLOOKUP(F54,Tabelle1!$A$2:$C$496,3,0))</f>
        <v/>
      </c>
      <c r="E54" s="57" t="str">
        <f>IF(K54="","",VLOOKUP(F54,Tabelle1!$A$2:$M$496,13,0))</f>
        <v/>
      </c>
      <c r="F54" s="56"/>
      <c r="G54" s="57"/>
      <c r="H54" s="57"/>
      <c r="I54" s="57"/>
      <c r="J54" s="57"/>
      <c r="K54" s="57"/>
      <c r="L54" s="118" t="str">
        <f>IF(K54="","",VLOOKUP(F54,Tabelle1!$A$2:$I$496,9,0))</f>
        <v/>
      </c>
      <c r="M54" s="57" t="str">
        <f>IF(K54="","",VLOOKUP(F54,Tabelle1!$A$2:$G$496,7,0))</f>
        <v/>
      </c>
      <c r="N54" s="66" t="str">
        <f t="shared" si="3"/>
        <v/>
      </c>
      <c r="O54" s="66" t="str">
        <f>IF(K54="","",((K54*VLOOKUP(F54,Tabelle1!$A$2:$I$496,8,0))/$W$4))</f>
        <v/>
      </c>
      <c r="P54" s="76" t="str">
        <f>IF(K54="","",VLOOKUP(F54,Tabelle1!$A$2:$L$496,12,0))</f>
        <v/>
      </c>
    </row>
    <row r="55" spans="1:25">
      <c r="A55" s="67"/>
      <c r="B55" s="55"/>
      <c r="C55" s="55"/>
      <c r="D55" s="57" t="str">
        <f>IF(K55="","",VLOOKUP(F55,Tabelle1!$A$2:$C$496,3,0))</f>
        <v/>
      </c>
      <c r="E55" s="57" t="str">
        <f>IF(K55="","",VLOOKUP(F55,Tabelle1!$A$2:$M$496,13,0))</f>
        <v/>
      </c>
      <c r="F55" s="56"/>
      <c r="G55" s="57"/>
      <c r="H55" s="57"/>
      <c r="I55" s="57"/>
      <c r="J55" s="57"/>
      <c r="K55" s="57"/>
      <c r="L55" s="118" t="str">
        <f>IF(K55="","",VLOOKUP(F55,Tabelle1!$A$2:$I$496,9,0))</f>
        <v/>
      </c>
      <c r="M55" s="57" t="str">
        <f>IF(K55="","",VLOOKUP(F55,Tabelle1!$A$2:$G$496,7,0))</f>
        <v/>
      </c>
      <c r="N55" s="66" t="str">
        <f t="shared" si="3"/>
        <v/>
      </c>
      <c r="O55" s="66" t="str">
        <f>IF(K55="","",((K55*VLOOKUP(F55,Tabelle1!$A$2:$I$496,8,0))/$W$4))</f>
        <v/>
      </c>
      <c r="P55" s="76" t="str">
        <f>IF(K55="","",VLOOKUP(F55,Tabelle1!$A$2:$L$496,12,0))</f>
        <v/>
      </c>
    </row>
    <row r="56" spans="1:25">
      <c r="A56" s="67"/>
      <c r="B56" s="55"/>
      <c r="C56" s="55"/>
      <c r="D56" s="57" t="str">
        <f>IF(K56="","",VLOOKUP(F56,Tabelle1!$A$2:$C$496,3,0))</f>
        <v/>
      </c>
      <c r="E56" s="57" t="str">
        <f>IF(K56="","",VLOOKUP(F56,Tabelle1!$A$2:$M$496,13,0))</f>
        <v/>
      </c>
      <c r="F56" s="56"/>
      <c r="G56" s="57"/>
      <c r="H56" s="57"/>
      <c r="I56" s="57"/>
      <c r="J56" s="57"/>
      <c r="K56" s="57"/>
      <c r="L56" s="118" t="str">
        <f>IF(K56="","",VLOOKUP(F56,Tabelle1!$A$2:$I$496,9,0))</f>
        <v/>
      </c>
      <c r="M56" s="57" t="str">
        <f>IF(K56="","",VLOOKUP(F56,Tabelle1!$A$2:$G$496,7,0))</f>
        <v/>
      </c>
      <c r="N56" s="66" t="str">
        <f t="shared" si="3"/>
        <v/>
      </c>
      <c r="O56" s="66" t="str">
        <f>IF(K56="","",((K56*VLOOKUP(F56,Tabelle1!$A$2:$I$496,8,0))/$W$4))</f>
        <v/>
      </c>
      <c r="P56" s="76" t="str">
        <f>IF(K56="","",VLOOKUP(F56,Tabelle1!$A$2:$L$496,12,0))</f>
        <v/>
      </c>
    </row>
    <row r="57" spans="1:25">
      <c r="A57" s="67"/>
      <c r="B57" s="55"/>
      <c r="C57" s="55"/>
      <c r="D57" s="57" t="str">
        <f>IF(K57="","",VLOOKUP(F57,Tabelle1!$A$2:$C$496,3,0))</f>
        <v/>
      </c>
      <c r="E57" s="57" t="str">
        <f>IF(K57="","",VLOOKUP(F57,Tabelle1!$A$2:$M$496,13,0))</f>
        <v/>
      </c>
      <c r="F57" s="56"/>
      <c r="G57" s="57"/>
      <c r="H57" s="57"/>
      <c r="I57" s="57"/>
      <c r="J57" s="57"/>
      <c r="K57" s="57"/>
      <c r="L57" s="118" t="str">
        <f>IF(K57="","",VLOOKUP(F57,Tabelle1!$A$2:$I$496,9,0))</f>
        <v/>
      </c>
      <c r="M57" s="57" t="str">
        <f>IF(K57="","",VLOOKUP(F57,Tabelle1!$A$2:$G$496,7,0))</f>
        <v/>
      </c>
      <c r="N57" s="66" t="str">
        <f t="shared" si="3"/>
        <v/>
      </c>
      <c r="O57" s="66" t="str">
        <f>IF(K57="","",((K57*VLOOKUP(F57,Tabelle1!$A$2:$I$496,8,0))/$W$4))</f>
        <v/>
      </c>
      <c r="P57" s="76" t="str">
        <f>IF(K57="","",VLOOKUP(F57,Tabelle1!$A$2:$L$496,12,0))</f>
        <v/>
      </c>
    </row>
    <row r="58" spans="1:25">
      <c r="A58" s="67"/>
      <c r="B58" s="55"/>
      <c r="C58" s="55"/>
      <c r="D58" s="57" t="str">
        <f>IF(K58="","",VLOOKUP(F58,Tabelle1!$A$2:$C$496,3,0))</f>
        <v/>
      </c>
      <c r="E58" s="57" t="str">
        <f>IF(K58="","",VLOOKUP(F58,Tabelle1!$A$2:$M$496,13,0))</f>
        <v/>
      </c>
      <c r="F58" s="56"/>
      <c r="G58" s="57"/>
      <c r="H58" s="57"/>
      <c r="I58" s="57"/>
      <c r="J58" s="57"/>
      <c r="K58" s="57"/>
      <c r="L58" s="118" t="str">
        <f>IF(K58="","",VLOOKUP(F58,Tabelle1!$A$2:$I$496,9,0))</f>
        <v/>
      </c>
      <c r="M58" s="57" t="str">
        <f>IF(K58="","",VLOOKUP(F58,Tabelle1!$A$2:$G$496,7,0))</f>
        <v/>
      </c>
      <c r="N58" s="66" t="str">
        <f t="shared" si="3"/>
        <v/>
      </c>
      <c r="O58" s="66" t="str">
        <f>IF(K58="","",((K58*VLOOKUP(F58,Tabelle1!$A$2:$I$496,8,0))/$W$4))</f>
        <v/>
      </c>
      <c r="P58" s="76" t="str">
        <f>IF(K58="","",VLOOKUP(F58,Tabelle1!$A$2:$L$496,12,0))</f>
        <v/>
      </c>
    </row>
    <row r="59" spans="1:25">
      <c r="A59" s="67"/>
      <c r="B59" s="55"/>
      <c r="C59" s="55"/>
      <c r="D59" s="57" t="str">
        <f>IF(K59="","",VLOOKUP(F59,Tabelle1!$A$2:$C$496,3,0))</f>
        <v/>
      </c>
      <c r="E59" s="57" t="str">
        <f>IF(K59="","",VLOOKUP(F59,Tabelle1!$A$2:$M$496,13,0))</f>
        <v/>
      </c>
      <c r="F59" s="56"/>
      <c r="G59" s="57"/>
      <c r="H59" s="57"/>
      <c r="I59" s="57"/>
      <c r="J59" s="57"/>
      <c r="K59" s="57"/>
      <c r="L59" s="118" t="str">
        <f>IF(K59="","",VLOOKUP(F59,Tabelle1!$A$2:$I$496,9,0))</f>
        <v/>
      </c>
      <c r="M59" s="57" t="str">
        <f>IF(K59="","",VLOOKUP(F59,Tabelle1!$A$2:$G$496,7,0))</f>
        <v/>
      </c>
      <c r="N59" s="66" t="str">
        <f t="shared" si="3"/>
        <v/>
      </c>
      <c r="O59" s="66" t="str">
        <f>IF(K59="","",((K59*VLOOKUP(F59,Tabelle1!$A$2:$I$496,8,0))/$W$4))</f>
        <v/>
      </c>
      <c r="P59" s="76" t="str">
        <f>IF(K59="","",VLOOKUP(F59,Tabelle1!$A$2:$L$496,12,0))</f>
        <v/>
      </c>
    </row>
    <row r="60" spans="1:25">
      <c r="A60" s="67"/>
      <c r="B60" s="55"/>
      <c r="C60" s="55"/>
      <c r="D60" s="57" t="str">
        <f>IF(K60="","",VLOOKUP(F60,Tabelle1!$A$2:$C$496,3,0))</f>
        <v/>
      </c>
      <c r="E60" s="57" t="str">
        <f>IF(K60="","",VLOOKUP(F60,Tabelle1!$A$2:$M$496,13,0))</f>
        <v/>
      </c>
      <c r="F60" s="56"/>
      <c r="G60" s="57"/>
      <c r="H60" s="57"/>
      <c r="I60" s="57"/>
      <c r="J60" s="57"/>
      <c r="K60" s="57"/>
      <c r="L60" s="118" t="str">
        <f>IF(K60="","",VLOOKUP(F60,Tabelle1!$A$2:$I$496,9,0))</f>
        <v/>
      </c>
      <c r="M60" s="57" t="str">
        <f>IF(K60="","",VLOOKUP(F60,Tabelle1!$A$2:$G$496,7,0))</f>
        <v/>
      </c>
      <c r="N60" s="66" t="str">
        <f t="shared" si="3"/>
        <v/>
      </c>
      <c r="O60" s="66" t="str">
        <f>IF(K60="","",((K60*VLOOKUP(F60,Tabelle1!$A$2:$I$496,8,0))/$W$4))</f>
        <v/>
      </c>
      <c r="P60" s="76" t="str">
        <f>IF(K60="","",VLOOKUP(F60,Tabelle1!$A$2:$L$496,12,0))</f>
        <v/>
      </c>
    </row>
    <row r="61" spans="1:25">
      <c r="A61" s="67"/>
      <c r="B61" s="55"/>
      <c r="C61" s="55"/>
      <c r="D61" s="57" t="str">
        <f>IF(K61="","",VLOOKUP(F61,Tabelle1!$A$2:$C$496,3,0))</f>
        <v/>
      </c>
      <c r="E61" s="57" t="str">
        <f>IF(K61="","",VLOOKUP(F61,Tabelle1!$A$2:$M$496,13,0))</f>
        <v/>
      </c>
      <c r="F61" s="56"/>
      <c r="G61" s="57"/>
      <c r="H61" s="57"/>
      <c r="I61" s="57"/>
      <c r="J61" s="57"/>
      <c r="K61" s="57"/>
      <c r="L61" s="118" t="str">
        <f>IF(K61="","",VLOOKUP(F61,Tabelle1!$A$2:$I$496,9,0))</f>
        <v/>
      </c>
      <c r="M61" s="57" t="str">
        <f>IF(K61="","",VLOOKUP(F61,Tabelle1!$A$2:$G$496,7,0))</f>
        <v/>
      </c>
      <c r="N61" s="66" t="str">
        <f t="shared" si="3"/>
        <v/>
      </c>
      <c r="O61" s="66" t="str">
        <f>IF(K61="","",((K61*VLOOKUP(F61,Tabelle1!$A$2:$I$496,8,0))/$W$4))</f>
        <v/>
      </c>
      <c r="P61" s="76" t="str">
        <f>IF(K61="","",VLOOKUP(F61,Tabelle1!$A$2:$L$496,12,0))</f>
        <v/>
      </c>
    </row>
    <row r="62" spans="1:25">
      <c r="A62" s="67"/>
      <c r="B62" s="55"/>
      <c r="C62" s="55"/>
      <c r="D62" s="57" t="str">
        <f>IF(K62="","",VLOOKUP(F62,Tabelle1!$A$2:$C$496,3,0))</f>
        <v/>
      </c>
      <c r="E62" s="57" t="str">
        <f>IF(K62="","",VLOOKUP(F62,Tabelle1!$A$2:$M$496,13,0))</f>
        <v/>
      </c>
      <c r="F62" s="56"/>
      <c r="G62" s="57"/>
      <c r="H62" s="57"/>
      <c r="I62" s="57"/>
      <c r="J62" s="57"/>
      <c r="K62" s="57"/>
      <c r="L62" s="118" t="str">
        <f>IF(K62="","",VLOOKUP(F62,Tabelle1!$A$2:$I$496,9,0))</f>
        <v/>
      </c>
      <c r="M62" s="57" t="str">
        <f>IF(K62="","",VLOOKUP(F62,Tabelle1!$A$2:$G$496,7,0))</f>
        <v/>
      </c>
      <c r="N62" s="66" t="str">
        <f t="shared" si="3"/>
        <v/>
      </c>
      <c r="O62" s="66" t="str">
        <f>IF(K62="","",((K62*VLOOKUP(F62,Tabelle1!$A$2:$I$496,8,0))/$W$4))</f>
        <v/>
      </c>
      <c r="P62" s="76" t="str">
        <f>IF(K62="","",VLOOKUP(F62,Tabelle1!$A$2:$L$496,12,0))</f>
        <v/>
      </c>
    </row>
    <row r="63" spans="1:25">
      <c r="A63" s="67"/>
      <c r="B63" s="55"/>
      <c r="C63" s="55"/>
      <c r="D63" s="57" t="str">
        <f>IF(K63="","",VLOOKUP(F63,Tabelle1!$A$2:$C$496,3,0))</f>
        <v/>
      </c>
      <c r="E63" s="57" t="str">
        <f>IF(K63="","",VLOOKUP(F63,Tabelle1!$A$2:$M$496,13,0))</f>
        <v/>
      </c>
      <c r="F63" s="56"/>
      <c r="G63" s="57"/>
      <c r="H63" s="57"/>
      <c r="I63" s="57"/>
      <c r="J63" s="57"/>
      <c r="K63" s="57"/>
      <c r="L63" s="118" t="str">
        <f>IF(K63="","",VLOOKUP(F63,Tabelle1!$A$2:$I$496,9,0))</f>
        <v/>
      </c>
      <c r="M63" s="57" t="str">
        <f>IF(K63="","",VLOOKUP(F63,Tabelle1!$A$2:$G$496,7,0))</f>
        <v/>
      </c>
      <c r="N63" s="66" t="str">
        <f t="shared" si="3"/>
        <v/>
      </c>
      <c r="O63" s="66" t="str">
        <f>IF(K63="","",((K63*VLOOKUP(F63,Tabelle1!$A$2:$I$496,8,0))/$W$4))</f>
        <v/>
      </c>
      <c r="P63" s="76" t="str">
        <f>IF(K63="","",VLOOKUP(F63,Tabelle1!$A$2:$L$496,12,0))</f>
        <v/>
      </c>
    </row>
    <row r="64" spans="1:25">
      <c r="A64" s="67"/>
      <c r="B64" s="55"/>
      <c r="C64" s="55"/>
      <c r="D64" s="57" t="str">
        <f>IF(K64="","",VLOOKUP(F64,Tabelle1!$A$2:$C$496,3,0))</f>
        <v/>
      </c>
      <c r="E64" s="57" t="str">
        <f>IF(K64="","",VLOOKUP(F64,Tabelle1!$A$2:$M$496,13,0))</f>
        <v/>
      </c>
      <c r="F64" s="56"/>
      <c r="G64" s="57"/>
      <c r="H64" s="57"/>
      <c r="I64" s="57"/>
      <c r="J64" s="57"/>
      <c r="K64" s="57"/>
      <c r="L64" s="118" t="str">
        <f>IF(K64="","",VLOOKUP(F64,Tabelle1!$A$2:$I$496,9,0))</f>
        <v/>
      </c>
      <c r="M64" s="57" t="str">
        <f>IF(K64="","",VLOOKUP(F64,Tabelle1!$A$2:$G$496,7,0))</f>
        <v/>
      </c>
      <c r="N64" s="66" t="str">
        <f t="shared" si="3"/>
        <v/>
      </c>
      <c r="O64" s="66" t="str">
        <f>IF(K64="","",((K64*VLOOKUP(F64,Tabelle1!$A$2:$I$496,8,0))/$W$4))</f>
        <v/>
      </c>
      <c r="P64" s="76" t="str">
        <f>IF(K64="","",VLOOKUP(F64,Tabelle1!$A$2:$L$496,12,0))</f>
        <v/>
      </c>
    </row>
    <row r="65" spans="1:16">
      <c r="A65" s="67"/>
      <c r="B65" s="55"/>
      <c r="C65" s="55"/>
      <c r="D65" s="57" t="str">
        <f>IF(K65="","",VLOOKUP(F65,Tabelle1!$A$2:$C$496,3,0))</f>
        <v/>
      </c>
      <c r="E65" s="57" t="str">
        <f>IF(K65="","",VLOOKUP(F65,Tabelle1!$A$2:$M$496,13,0))</f>
        <v/>
      </c>
      <c r="F65" s="56"/>
      <c r="G65" s="57"/>
      <c r="H65" s="57"/>
      <c r="I65" s="57"/>
      <c r="J65" s="57"/>
      <c r="K65" s="57"/>
      <c r="L65" s="118" t="str">
        <f>IF(K65="","",VLOOKUP(F65,Tabelle1!$A$2:$I$496,9,0))</f>
        <v/>
      </c>
      <c r="M65" s="57" t="str">
        <f>IF(K65="","",VLOOKUP(F65,Tabelle1!$A$2:$G$496,7,0))</f>
        <v/>
      </c>
      <c r="N65" s="66" t="str">
        <f t="shared" si="3"/>
        <v/>
      </c>
      <c r="O65" s="66" t="str">
        <f>IF(K65="","",((K65*VLOOKUP(F65,Tabelle1!$A$2:$I$496,8,0))/$W$4))</f>
        <v/>
      </c>
      <c r="P65" s="76" t="str">
        <f>IF(K65="","",VLOOKUP(F65,Tabelle1!$A$2:$L$496,12,0))</f>
        <v/>
      </c>
    </row>
    <row r="66" spans="1:16">
      <c r="A66" s="67"/>
      <c r="B66" s="55"/>
      <c r="C66" s="55"/>
      <c r="D66" s="57" t="str">
        <f>IF(K66="","",VLOOKUP(F66,Tabelle1!$A$2:$C$496,3,0))</f>
        <v/>
      </c>
      <c r="E66" s="57" t="str">
        <f>IF(K66="","",VLOOKUP(F66,Tabelle1!$A$2:$M$496,13,0))</f>
        <v/>
      </c>
      <c r="F66" s="56"/>
      <c r="G66" s="57"/>
      <c r="H66" s="57"/>
      <c r="I66" s="57"/>
      <c r="J66" s="57"/>
      <c r="K66" s="57"/>
      <c r="L66" s="118" t="str">
        <f>IF(K66="","",VLOOKUP(F66,Tabelle1!$A$2:$I$496,9,0))</f>
        <v/>
      </c>
      <c r="M66" s="57" t="str">
        <f>IF(K66="","",VLOOKUP(F66,Tabelle1!$A$2:$G$496,7,0))</f>
        <v/>
      </c>
      <c r="N66" s="66" t="str">
        <f t="shared" si="3"/>
        <v/>
      </c>
      <c r="O66" s="66" t="str">
        <f>IF(K66="","",((K66*VLOOKUP(F66,Tabelle1!$A$2:$I$496,8,0))/$W$4))</f>
        <v/>
      </c>
      <c r="P66" s="76" t="str">
        <f>IF(K66="","",VLOOKUP(F66,Tabelle1!$A$2:$L$496,12,0))</f>
        <v/>
      </c>
    </row>
    <row r="67" spans="1:16">
      <c r="A67" s="67"/>
      <c r="B67" s="55"/>
      <c r="C67" s="55"/>
      <c r="D67" s="57" t="str">
        <f>IF(K67="","",VLOOKUP(F67,Tabelle1!$A$2:$C$496,3,0))</f>
        <v/>
      </c>
      <c r="E67" s="57" t="str">
        <f>IF(K67="","",VLOOKUP(F67,Tabelle1!$A$2:$M$496,13,0))</f>
        <v/>
      </c>
      <c r="F67" s="56"/>
      <c r="G67" s="57"/>
      <c r="H67" s="57"/>
      <c r="I67" s="57"/>
      <c r="J67" s="57"/>
      <c r="K67" s="57"/>
      <c r="L67" s="118" t="str">
        <f>IF(K67="","",VLOOKUP(F67,Tabelle1!$A$2:$I$496,9,0))</f>
        <v/>
      </c>
      <c r="M67" s="57" t="str">
        <f>IF(K67="","",VLOOKUP(F67,Tabelle1!$A$2:$G$496,7,0))</f>
        <v/>
      </c>
      <c r="N67" s="66" t="str">
        <f t="shared" si="3"/>
        <v/>
      </c>
      <c r="O67" s="66" t="str">
        <f>IF(K67="","",((K67*VLOOKUP(F67,Tabelle1!$A$2:$I$496,8,0))/$W$4))</f>
        <v/>
      </c>
      <c r="P67" s="76" t="str">
        <f>IF(K67="","",VLOOKUP(F67,Tabelle1!$A$2:$L$496,12,0))</f>
        <v/>
      </c>
    </row>
    <row r="68" spans="1:16">
      <c r="A68" s="67"/>
      <c r="B68" s="55"/>
      <c r="C68" s="55"/>
      <c r="D68" s="57" t="str">
        <f>IF(K68="","",VLOOKUP(F68,Tabelle1!$A$2:$C$496,3,0))</f>
        <v/>
      </c>
      <c r="E68" s="57" t="str">
        <f>IF(K68="","",VLOOKUP(F68,Tabelle1!$A$2:$M$496,13,0))</f>
        <v/>
      </c>
      <c r="F68" s="56"/>
      <c r="G68" s="57"/>
      <c r="H68" s="57"/>
      <c r="I68" s="57"/>
      <c r="J68" s="57"/>
      <c r="K68" s="57"/>
      <c r="L68" s="118" t="str">
        <f>IF(K68="","",VLOOKUP(F68,Tabelle1!$A$2:$I$496,9,0))</f>
        <v/>
      </c>
      <c r="M68" s="57" t="str">
        <f>IF(K68="","",VLOOKUP(F68,Tabelle1!$A$2:$G$496,7,0))</f>
        <v/>
      </c>
      <c r="N68" s="66" t="str">
        <f t="shared" si="3"/>
        <v/>
      </c>
      <c r="O68" s="66" t="str">
        <f>IF(K68="","",((K68*VLOOKUP(F68,Tabelle1!$A$2:$I$496,8,0))/$W$4))</f>
        <v/>
      </c>
      <c r="P68" s="76" t="str">
        <f>IF(K68="","",VLOOKUP(F68,Tabelle1!$A$2:$L$496,12,0))</f>
        <v/>
      </c>
    </row>
    <row r="69" spans="1:16">
      <c r="A69" s="67"/>
      <c r="B69" s="55"/>
      <c r="C69" s="55"/>
      <c r="D69" s="57" t="str">
        <f>IF(K69="","",VLOOKUP(F69,Tabelle1!$A$2:$C$496,3,0))</f>
        <v/>
      </c>
      <c r="E69" s="57" t="str">
        <f>IF(K69="","",VLOOKUP(F69,Tabelle1!$A$2:$M$496,13,0))</f>
        <v/>
      </c>
      <c r="F69" s="56"/>
      <c r="G69" s="57"/>
      <c r="H69" s="57"/>
      <c r="I69" s="57"/>
      <c r="J69" s="57"/>
      <c r="K69" s="57"/>
      <c r="L69" s="118" t="str">
        <f>IF(K69="","",VLOOKUP(F69,Tabelle1!$A$2:$I$496,9,0))</f>
        <v/>
      </c>
      <c r="M69" s="57" t="str">
        <f>IF(K69="","",VLOOKUP(F69,Tabelle1!$A$2:$G$496,7,0))</f>
        <v/>
      </c>
      <c r="N69" s="66" t="str">
        <f t="shared" ref="N69:N132" si="4">IF(M69&gt;0,O69,"")</f>
        <v/>
      </c>
      <c r="O69" s="66" t="str">
        <f>IF(K69="","",((K69*VLOOKUP(F69,Tabelle1!$A$2:$I$496,8,0))/$W$4))</f>
        <v/>
      </c>
      <c r="P69" s="76" t="str">
        <f>IF(K69="","",VLOOKUP(F69,Tabelle1!$A$2:$L$496,12,0))</f>
        <v/>
      </c>
    </row>
    <row r="70" spans="1:16">
      <c r="A70" s="67"/>
      <c r="B70" s="55"/>
      <c r="C70" s="55"/>
      <c r="D70" s="57" t="str">
        <f>IF(K70="","",VLOOKUP(F70,Tabelle1!$A$2:$C$496,3,0))</f>
        <v/>
      </c>
      <c r="E70" s="57" t="str">
        <f>IF(K70="","",VLOOKUP(F70,Tabelle1!$A$2:$M$496,13,0))</f>
        <v/>
      </c>
      <c r="F70" s="56"/>
      <c r="G70" s="57"/>
      <c r="H70" s="57"/>
      <c r="I70" s="57"/>
      <c r="J70" s="57"/>
      <c r="K70" s="57"/>
      <c r="L70" s="118" t="str">
        <f>IF(K70="","",VLOOKUP(F70,Tabelle1!$A$2:$I$496,9,0))</f>
        <v/>
      </c>
      <c r="M70" s="57" t="str">
        <f>IF(K70="","",VLOOKUP(F70,Tabelle1!$A$2:$G$496,7,0))</f>
        <v/>
      </c>
      <c r="N70" s="66" t="str">
        <f t="shared" si="4"/>
        <v/>
      </c>
      <c r="O70" s="66" t="str">
        <f>IF(K70="","",((K70*VLOOKUP(F70,Tabelle1!$A$2:$I$496,8,0))/$W$4))</f>
        <v/>
      </c>
      <c r="P70" s="76" t="str">
        <f>IF(K70="","",VLOOKUP(F70,Tabelle1!$A$2:$L$496,12,0))</f>
        <v/>
      </c>
    </row>
    <row r="71" spans="1:16">
      <c r="A71" s="67"/>
      <c r="B71" s="55"/>
      <c r="C71" s="55"/>
      <c r="D71" s="57" t="str">
        <f>IF(K71="","",VLOOKUP(F71,Tabelle1!$A$2:$C$496,3,0))</f>
        <v/>
      </c>
      <c r="E71" s="57" t="str">
        <f>IF(K71="","",VLOOKUP(F71,Tabelle1!$A$2:$M$496,13,0))</f>
        <v/>
      </c>
      <c r="F71" s="56"/>
      <c r="G71" s="57"/>
      <c r="H71" s="57"/>
      <c r="I71" s="57"/>
      <c r="J71" s="57"/>
      <c r="K71" s="57"/>
      <c r="L71" s="118" t="str">
        <f>IF(K71="","",VLOOKUP(F71,Tabelle1!$A$2:$I$496,9,0))</f>
        <v/>
      </c>
      <c r="M71" s="57" t="str">
        <f>IF(K71="","",VLOOKUP(F71,Tabelle1!$A$2:$G$496,7,0))</f>
        <v/>
      </c>
      <c r="N71" s="66" t="str">
        <f t="shared" si="4"/>
        <v/>
      </c>
      <c r="O71" s="66" t="str">
        <f>IF(K71="","",((K71*VLOOKUP(F71,Tabelle1!$A$2:$I$496,8,0))/$W$4))</f>
        <v/>
      </c>
      <c r="P71" s="76" t="str">
        <f>IF(K71="","",VLOOKUP(F71,Tabelle1!$A$2:$L$496,12,0))</f>
        <v/>
      </c>
    </row>
    <row r="72" spans="1:16">
      <c r="A72" s="67"/>
      <c r="B72" s="55"/>
      <c r="C72" s="55"/>
      <c r="D72" s="57" t="str">
        <f>IF(K72="","",VLOOKUP(F72,Tabelle1!$A$2:$C$496,3,0))</f>
        <v/>
      </c>
      <c r="E72" s="57" t="str">
        <f>IF(K72="","",VLOOKUP(F72,Tabelle1!$A$2:$M$496,13,0))</f>
        <v/>
      </c>
      <c r="F72" s="56"/>
      <c r="G72" s="57"/>
      <c r="H72" s="57"/>
      <c r="I72" s="57"/>
      <c r="J72" s="57"/>
      <c r="K72" s="57"/>
      <c r="L72" s="118" t="str">
        <f>IF(K72="","",VLOOKUP(F72,Tabelle1!$A$2:$I$496,9,0))</f>
        <v/>
      </c>
      <c r="M72" s="57" t="str">
        <f>IF(K72="","",VLOOKUP(F72,Tabelle1!$A$2:$G$496,7,0))</f>
        <v/>
      </c>
      <c r="N72" s="66" t="str">
        <f t="shared" si="4"/>
        <v/>
      </c>
      <c r="O72" s="66" t="str">
        <f>IF(K72="","",((K72*VLOOKUP(F72,Tabelle1!$A$2:$I$496,8,0))/$W$4))</f>
        <v/>
      </c>
      <c r="P72" s="76" t="str">
        <f>IF(K72="","",VLOOKUP(F72,Tabelle1!$A$2:$L$496,12,0))</f>
        <v/>
      </c>
    </row>
    <row r="73" spans="1:16">
      <c r="A73" s="67"/>
      <c r="B73" s="55"/>
      <c r="C73" s="55"/>
      <c r="D73" s="57" t="str">
        <f>IF(K73="","",VLOOKUP(F73,Tabelle1!$A$2:$C$496,3,0))</f>
        <v/>
      </c>
      <c r="E73" s="57" t="str">
        <f>IF(K73="","",VLOOKUP(F73,Tabelle1!$A$2:$M$496,13,0))</f>
        <v/>
      </c>
      <c r="F73" s="56"/>
      <c r="G73" s="57"/>
      <c r="H73" s="57"/>
      <c r="I73" s="57"/>
      <c r="J73" s="57"/>
      <c r="K73" s="57"/>
      <c r="L73" s="118" t="str">
        <f>IF(K73="","",VLOOKUP(F73,Tabelle1!$A$2:$I$496,9,0))</f>
        <v/>
      </c>
      <c r="M73" s="57" t="str">
        <f>IF(K73="","",VLOOKUP(F73,Tabelle1!$A$2:$G$496,7,0))</f>
        <v/>
      </c>
      <c r="N73" s="66" t="str">
        <f t="shared" si="4"/>
        <v/>
      </c>
      <c r="O73" s="66" t="str">
        <f>IF(K73="","",((K73*VLOOKUP(F73,Tabelle1!$A$2:$I$496,8,0))/$W$4))</f>
        <v/>
      </c>
      <c r="P73" s="76" t="str">
        <f>IF(K73="","",VLOOKUP(F73,Tabelle1!$A$2:$L$496,12,0))</f>
        <v/>
      </c>
    </row>
    <row r="74" spans="1:16">
      <c r="A74" s="67"/>
      <c r="B74" s="55"/>
      <c r="C74" s="55"/>
      <c r="D74" s="57" t="str">
        <f>IF(K74="","",VLOOKUP(F74,Tabelle1!$A$2:$C$496,3,0))</f>
        <v/>
      </c>
      <c r="E74" s="57" t="str">
        <f>IF(K74="","",VLOOKUP(F74,Tabelle1!$A$2:$M$496,13,0))</f>
        <v/>
      </c>
      <c r="F74" s="56"/>
      <c r="G74" s="57"/>
      <c r="H74" s="57"/>
      <c r="I74" s="57"/>
      <c r="J74" s="57"/>
      <c r="K74" s="57"/>
      <c r="L74" s="118" t="str">
        <f>IF(K74="","",VLOOKUP(F74,Tabelle1!$A$2:$I$496,9,0))</f>
        <v/>
      </c>
      <c r="M74" s="57" t="str">
        <f>IF(K74="","",VLOOKUP(F74,Tabelle1!$A$2:$G$496,7,0))</f>
        <v/>
      </c>
      <c r="N74" s="66" t="str">
        <f t="shared" si="4"/>
        <v/>
      </c>
      <c r="O74" s="66" t="str">
        <f>IF(K74="","",((K74*VLOOKUP(F74,Tabelle1!$A$2:$I$496,8,0))/$W$4))</f>
        <v/>
      </c>
      <c r="P74" s="76" t="str">
        <f>IF(K74="","",VLOOKUP(F74,Tabelle1!$A$2:$L$496,12,0))</f>
        <v/>
      </c>
    </row>
    <row r="75" spans="1:16">
      <c r="A75" s="67"/>
      <c r="B75" s="55"/>
      <c r="C75" s="55"/>
      <c r="D75" s="57" t="str">
        <f>IF(K75="","",VLOOKUP(F75,Tabelle1!$A$2:$C$496,3,0))</f>
        <v/>
      </c>
      <c r="E75" s="57" t="str">
        <f>IF(K75="","",VLOOKUP(F75,Tabelle1!$A$2:$M$496,13,0))</f>
        <v/>
      </c>
      <c r="F75" s="56"/>
      <c r="G75" s="57"/>
      <c r="H75" s="57"/>
      <c r="I75" s="57"/>
      <c r="J75" s="57"/>
      <c r="K75" s="57"/>
      <c r="L75" s="118" t="str">
        <f>IF(K75="","",VLOOKUP(F75,Tabelle1!$A$2:$I$496,9,0))</f>
        <v/>
      </c>
      <c r="M75" s="57" t="str">
        <f>IF(K75="","",VLOOKUP(F75,Tabelle1!$A$2:$G$496,7,0))</f>
        <v/>
      </c>
      <c r="N75" s="66" t="str">
        <f t="shared" si="4"/>
        <v/>
      </c>
      <c r="O75" s="66" t="str">
        <f>IF(K75="","",((K75*VLOOKUP(F75,Tabelle1!$A$2:$I$496,8,0))/$W$4))</f>
        <v/>
      </c>
      <c r="P75" s="76" t="str">
        <f>IF(K75="","",VLOOKUP(F75,Tabelle1!$A$2:$L$496,12,0))</f>
        <v/>
      </c>
    </row>
    <row r="76" spans="1:16">
      <c r="A76" s="67"/>
      <c r="B76" s="55"/>
      <c r="C76" s="55"/>
      <c r="D76" s="57" t="str">
        <f>IF(K76="","",VLOOKUP(F76,Tabelle1!$A$2:$C$496,3,0))</f>
        <v/>
      </c>
      <c r="E76" s="57" t="str">
        <f>IF(K76="","",VLOOKUP(F76,Tabelle1!$A$2:$M$496,13,0))</f>
        <v/>
      </c>
      <c r="F76" s="56"/>
      <c r="G76" s="57"/>
      <c r="H76" s="57"/>
      <c r="I76" s="57"/>
      <c r="J76" s="57"/>
      <c r="K76" s="57"/>
      <c r="L76" s="118" t="str">
        <f>IF(K76="","",VLOOKUP(F76,Tabelle1!$A$2:$I$496,9,0))</f>
        <v/>
      </c>
      <c r="M76" s="57" t="str">
        <f>IF(K76="","",VLOOKUP(F76,Tabelle1!$A$2:$G$496,7,0))</f>
        <v/>
      </c>
      <c r="N76" s="66" t="str">
        <f t="shared" si="4"/>
        <v/>
      </c>
      <c r="O76" s="66" t="str">
        <f>IF(K76="","",((K76*VLOOKUP(F76,Tabelle1!$A$2:$I$496,8,0))/$W$4))</f>
        <v/>
      </c>
      <c r="P76" s="76" t="str">
        <f>IF(K76="","",VLOOKUP(F76,Tabelle1!$A$2:$L$496,12,0))</f>
        <v/>
      </c>
    </row>
    <row r="77" spans="1:16">
      <c r="A77" s="67"/>
      <c r="B77" s="55"/>
      <c r="C77" s="55"/>
      <c r="D77" s="57" t="str">
        <f>IF(K77="","",VLOOKUP(F77,Tabelle1!$A$2:$C$496,3,0))</f>
        <v/>
      </c>
      <c r="E77" s="57" t="str">
        <f>IF(K77="","",VLOOKUP(F77,Tabelle1!$A$2:$M$496,13,0))</f>
        <v/>
      </c>
      <c r="F77" s="56"/>
      <c r="G77" s="57"/>
      <c r="H77" s="57"/>
      <c r="I77" s="57"/>
      <c r="J77" s="57"/>
      <c r="K77" s="57"/>
      <c r="L77" s="118" t="str">
        <f>IF(K77="","",VLOOKUP(F77,Tabelle1!$A$2:$I$496,9,0))</f>
        <v/>
      </c>
      <c r="M77" s="57" t="str">
        <f>IF(K77="","",VLOOKUP(F77,Tabelle1!$A$2:$G$496,7,0))</f>
        <v/>
      </c>
      <c r="N77" s="66" t="str">
        <f t="shared" si="4"/>
        <v/>
      </c>
      <c r="O77" s="66" t="str">
        <f>IF(K77="","",((K77*VLOOKUP(F77,Tabelle1!$A$2:$I$496,8,0))/$W$4))</f>
        <v/>
      </c>
      <c r="P77" s="76" t="str">
        <f>IF(K77="","",VLOOKUP(F77,Tabelle1!$A$2:$L$496,12,0))</f>
        <v/>
      </c>
    </row>
    <row r="78" spans="1:16">
      <c r="A78" s="67"/>
      <c r="B78" s="55"/>
      <c r="C78" s="55"/>
      <c r="D78" s="57" t="str">
        <f>IF(K78="","",VLOOKUP(F78,Tabelle1!$A$2:$C$496,3,0))</f>
        <v/>
      </c>
      <c r="E78" s="57" t="str">
        <f>IF(K78="","",VLOOKUP(F78,Tabelle1!$A$2:$M$496,13,0))</f>
        <v/>
      </c>
      <c r="F78" s="56"/>
      <c r="G78" s="57"/>
      <c r="H78" s="57"/>
      <c r="I78" s="57"/>
      <c r="J78" s="57"/>
      <c r="K78" s="57"/>
      <c r="L78" s="118" t="str">
        <f>IF(K78="","",VLOOKUP(F78,Tabelle1!$A$2:$I$496,9,0))</f>
        <v/>
      </c>
      <c r="M78" s="57" t="str">
        <f>IF(K78="","",VLOOKUP(F78,Tabelle1!$A$2:$G$496,7,0))</f>
        <v/>
      </c>
      <c r="N78" s="66" t="str">
        <f t="shared" si="4"/>
        <v/>
      </c>
      <c r="O78" s="66" t="str">
        <f>IF(K78="","",((K78*VLOOKUP(F78,Tabelle1!$A$2:$I$496,8,0))/$W$4))</f>
        <v/>
      </c>
      <c r="P78" s="76" t="str">
        <f>IF(K78="","",VLOOKUP(F78,Tabelle1!$A$2:$L$496,12,0))</f>
        <v/>
      </c>
    </row>
    <row r="79" spans="1:16">
      <c r="A79" s="67"/>
      <c r="B79" s="55"/>
      <c r="C79" s="55"/>
      <c r="D79" s="57" t="str">
        <f>IF(K79="","",VLOOKUP(F79,Tabelle1!$A$2:$C$496,3,0))</f>
        <v/>
      </c>
      <c r="E79" s="57" t="str">
        <f>IF(K79="","",VLOOKUP(F79,Tabelle1!$A$2:$M$496,13,0))</f>
        <v/>
      </c>
      <c r="F79" s="56"/>
      <c r="G79" s="57"/>
      <c r="H79" s="57"/>
      <c r="I79" s="57"/>
      <c r="J79" s="57"/>
      <c r="K79" s="57"/>
      <c r="L79" s="118" t="str">
        <f>IF(K79="","",VLOOKUP(F79,Tabelle1!$A$2:$I$496,9,0))</f>
        <v/>
      </c>
      <c r="M79" s="57" t="str">
        <f>IF(K79="","",VLOOKUP(F79,Tabelle1!$A$2:$G$496,7,0))</f>
        <v/>
      </c>
      <c r="N79" s="66" t="str">
        <f t="shared" si="4"/>
        <v/>
      </c>
      <c r="O79" s="66" t="str">
        <f>IF(K79="","",((K79*VLOOKUP(F79,Tabelle1!$A$2:$I$496,8,0))/$W$4))</f>
        <v/>
      </c>
      <c r="P79" s="76" t="str">
        <f>IF(K79="","",VLOOKUP(F79,Tabelle1!$A$2:$L$496,12,0))</f>
        <v/>
      </c>
    </row>
    <row r="80" spans="1:16">
      <c r="A80" s="67"/>
      <c r="B80" s="55"/>
      <c r="C80" s="55"/>
      <c r="D80" s="57" t="str">
        <f>IF(K80="","",VLOOKUP(F80,Tabelle1!$A$2:$C$496,3,0))</f>
        <v/>
      </c>
      <c r="E80" s="57" t="str">
        <f>IF(K80="","",VLOOKUP(F80,Tabelle1!$A$2:$M$496,13,0))</f>
        <v/>
      </c>
      <c r="F80" s="56"/>
      <c r="G80" s="57"/>
      <c r="H80" s="57"/>
      <c r="I80" s="57"/>
      <c r="J80" s="57"/>
      <c r="K80" s="57"/>
      <c r="L80" s="118" t="str">
        <f>IF(K80="","",VLOOKUP(F80,Tabelle1!$A$2:$I$496,9,0))</f>
        <v/>
      </c>
      <c r="M80" s="57" t="str">
        <f>IF(K80="","",VLOOKUP(F80,Tabelle1!$A$2:$G$496,7,0))</f>
        <v/>
      </c>
      <c r="N80" s="66" t="str">
        <f t="shared" si="4"/>
        <v/>
      </c>
      <c r="O80" s="66" t="str">
        <f>IF(K80="","",((K80*VLOOKUP(F80,Tabelle1!$A$2:$I$496,8,0))/$W$4))</f>
        <v/>
      </c>
      <c r="P80" s="76" t="str">
        <f>IF(K80="","",VLOOKUP(F80,Tabelle1!$A$2:$L$496,12,0))</f>
        <v/>
      </c>
    </row>
    <row r="81" spans="1:16">
      <c r="A81" s="67"/>
      <c r="B81" s="55"/>
      <c r="C81" s="55"/>
      <c r="D81" s="57" t="str">
        <f>IF(K81="","",VLOOKUP(F81,Tabelle1!$A$2:$C$496,3,0))</f>
        <v/>
      </c>
      <c r="E81" s="57" t="str">
        <f>IF(K81="","",VLOOKUP(F81,Tabelle1!$A$2:$M$496,13,0))</f>
        <v/>
      </c>
      <c r="F81" s="56"/>
      <c r="G81" s="57"/>
      <c r="H81" s="57"/>
      <c r="I81" s="57"/>
      <c r="J81" s="57"/>
      <c r="K81" s="57"/>
      <c r="L81" s="118" t="str">
        <f>IF(K81="","",VLOOKUP(F81,Tabelle1!$A$2:$I$496,9,0))</f>
        <v/>
      </c>
      <c r="M81" s="57" t="str">
        <f>IF(K81="","",VLOOKUP(F81,Tabelle1!$A$2:$G$496,7,0))</f>
        <v/>
      </c>
      <c r="N81" s="66" t="str">
        <f t="shared" si="4"/>
        <v/>
      </c>
      <c r="O81" s="66" t="str">
        <f>IF(K81="","",((K81*VLOOKUP(F81,Tabelle1!$A$2:$I$496,8,0))/$W$4))</f>
        <v/>
      </c>
      <c r="P81" s="76" t="str">
        <f>IF(K81="","",VLOOKUP(F81,Tabelle1!$A$2:$L$496,12,0))</f>
        <v/>
      </c>
    </row>
    <row r="82" spans="1:16">
      <c r="A82" s="67"/>
      <c r="B82" s="55"/>
      <c r="C82" s="55"/>
      <c r="D82" s="57" t="str">
        <f>IF(K82="","",VLOOKUP(F82,Tabelle1!$A$2:$C$496,3,0))</f>
        <v/>
      </c>
      <c r="E82" s="57" t="str">
        <f>IF(K82="","",VLOOKUP(F82,Tabelle1!$A$2:$M$496,13,0))</f>
        <v/>
      </c>
      <c r="F82" s="56"/>
      <c r="G82" s="57"/>
      <c r="H82" s="57"/>
      <c r="I82" s="57"/>
      <c r="J82" s="57"/>
      <c r="K82" s="57"/>
      <c r="L82" s="118" t="str">
        <f>IF(K82="","",VLOOKUP(F82,Tabelle1!$A$2:$I$496,9,0))</f>
        <v/>
      </c>
      <c r="M82" s="57" t="str">
        <f>IF(K82="","",VLOOKUP(F82,Tabelle1!$A$2:$G$496,7,0))</f>
        <v/>
      </c>
      <c r="N82" s="66" t="str">
        <f t="shared" si="4"/>
        <v/>
      </c>
      <c r="O82" s="66" t="str">
        <f>IF(K82="","",((K82*VLOOKUP(F82,Tabelle1!$A$2:$I$496,8,0))/$W$4))</f>
        <v/>
      </c>
      <c r="P82" s="76" t="str">
        <f>IF(K82="","",VLOOKUP(F82,Tabelle1!$A$2:$L$496,12,0))</f>
        <v/>
      </c>
    </row>
    <row r="83" spans="1:16">
      <c r="A83" s="67"/>
      <c r="B83" s="55"/>
      <c r="C83" s="55"/>
      <c r="D83" s="57" t="str">
        <f>IF(K83="","",VLOOKUP(F83,Tabelle1!$A$2:$C$496,3,0))</f>
        <v/>
      </c>
      <c r="E83" s="57" t="str">
        <f>IF(K83="","",VLOOKUP(F83,Tabelle1!$A$2:$M$496,13,0))</f>
        <v/>
      </c>
      <c r="F83" s="56"/>
      <c r="G83" s="57"/>
      <c r="H83" s="57"/>
      <c r="I83" s="57"/>
      <c r="J83" s="57"/>
      <c r="K83" s="57"/>
      <c r="L83" s="118" t="str">
        <f>IF(K83="","",VLOOKUP(F83,Tabelle1!$A$2:$I$496,9,0))</f>
        <v/>
      </c>
      <c r="M83" s="57" t="str">
        <f>IF(K83="","",VLOOKUP(F83,Tabelle1!$A$2:$G$496,7,0))</f>
        <v/>
      </c>
      <c r="N83" s="66" t="str">
        <f t="shared" si="4"/>
        <v/>
      </c>
      <c r="O83" s="66" t="str">
        <f>IF(K83="","",((K83*VLOOKUP(F83,Tabelle1!$A$2:$I$496,8,0))/$W$4))</f>
        <v/>
      </c>
      <c r="P83" s="76" t="str">
        <f>IF(K83="","",VLOOKUP(F83,Tabelle1!$A$2:$L$496,12,0))</f>
        <v/>
      </c>
    </row>
    <row r="84" spans="1:16">
      <c r="A84" s="67"/>
      <c r="B84" s="55"/>
      <c r="C84" s="55"/>
      <c r="D84" s="57" t="str">
        <f>IF(K84="","",VLOOKUP(F84,Tabelle1!$A$2:$C$496,3,0))</f>
        <v/>
      </c>
      <c r="E84" s="57" t="str">
        <f>IF(K84="","",VLOOKUP(F84,Tabelle1!$A$2:$M$496,13,0))</f>
        <v/>
      </c>
      <c r="F84" s="56"/>
      <c r="G84" s="57"/>
      <c r="H84" s="57"/>
      <c r="I84" s="57"/>
      <c r="J84" s="57"/>
      <c r="K84" s="57"/>
      <c r="L84" s="118" t="str">
        <f>IF(K84="","",VLOOKUP(F84,Tabelle1!$A$2:$I$496,9,0))</f>
        <v/>
      </c>
      <c r="M84" s="57" t="str">
        <f>IF(K84="","",VLOOKUP(F84,Tabelle1!$A$2:$G$496,7,0))</f>
        <v/>
      </c>
      <c r="N84" s="66" t="str">
        <f t="shared" si="4"/>
        <v/>
      </c>
      <c r="O84" s="66" t="str">
        <f>IF(K84="","",((K84*VLOOKUP(F84,Tabelle1!$A$2:$I$496,8,0))/$W$4))</f>
        <v/>
      </c>
      <c r="P84" s="76" t="str">
        <f>IF(K84="","",VLOOKUP(F84,Tabelle1!$A$2:$L$496,12,0))</f>
        <v/>
      </c>
    </row>
    <row r="85" spans="1:16">
      <c r="A85" s="67"/>
      <c r="B85" s="55"/>
      <c r="C85" s="55"/>
      <c r="D85" s="57" t="str">
        <f>IF(K85="","",VLOOKUP(F85,Tabelle1!$A$2:$C$496,3,0))</f>
        <v/>
      </c>
      <c r="E85" s="57" t="str">
        <f>IF(K85="","",VLOOKUP(F85,Tabelle1!$A$2:$M$496,13,0))</f>
        <v/>
      </c>
      <c r="F85" s="56"/>
      <c r="G85" s="57"/>
      <c r="H85" s="57"/>
      <c r="I85" s="57"/>
      <c r="J85" s="57"/>
      <c r="K85" s="57"/>
      <c r="L85" s="118" t="str">
        <f>IF(K85="","",VLOOKUP(F85,Tabelle1!$A$2:$I$496,9,0))</f>
        <v/>
      </c>
      <c r="M85" s="57" t="str">
        <f>IF(K85="","",VLOOKUP(F85,Tabelle1!$A$2:$G$496,7,0))</f>
        <v/>
      </c>
      <c r="N85" s="66" t="str">
        <f t="shared" si="4"/>
        <v/>
      </c>
      <c r="O85" s="66" t="str">
        <f>IF(K85="","",((K85*VLOOKUP(F85,Tabelle1!$A$2:$I$496,8,0))/$W$4))</f>
        <v/>
      </c>
      <c r="P85" s="76" t="str">
        <f>IF(K85="","",VLOOKUP(F85,Tabelle1!$A$2:$L$496,12,0))</f>
        <v/>
      </c>
    </row>
    <row r="86" spans="1:16">
      <c r="A86" s="67"/>
      <c r="B86" s="55"/>
      <c r="C86" s="55"/>
      <c r="D86" s="57" t="str">
        <f>IF(K86="","",VLOOKUP(F86,Tabelle1!$A$2:$C$496,3,0))</f>
        <v/>
      </c>
      <c r="E86" s="57" t="str">
        <f>IF(K86="","",VLOOKUP(F86,Tabelle1!$A$2:$M$496,13,0))</f>
        <v/>
      </c>
      <c r="F86" s="56"/>
      <c r="G86" s="57"/>
      <c r="H86" s="57"/>
      <c r="I86" s="57"/>
      <c r="J86" s="57"/>
      <c r="K86" s="57"/>
      <c r="L86" s="118" t="str">
        <f>IF(K86="","",VLOOKUP(F86,Tabelle1!$A$2:$I$496,9,0))</f>
        <v/>
      </c>
      <c r="M86" s="57" t="str">
        <f>IF(K86="","",VLOOKUP(F86,Tabelle1!$A$2:$G$496,7,0))</f>
        <v/>
      </c>
      <c r="N86" s="66" t="str">
        <f t="shared" si="4"/>
        <v/>
      </c>
      <c r="O86" s="66" t="str">
        <f>IF(K86="","",((K86*VLOOKUP(F86,Tabelle1!$A$2:$I$496,8,0))/$W$4))</f>
        <v/>
      </c>
      <c r="P86" s="76" t="str">
        <f>IF(K86="","",VLOOKUP(F86,Tabelle1!$A$2:$L$496,12,0))</f>
        <v/>
      </c>
    </row>
    <row r="87" spans="1:16">
      <c r="A87" s="67"/>
      <c r="B87" s="55"/>
      <c r="C87" s="55"/>
      <c r="D87" s="57" t="str">
        <f>IF(K87="","",VLOOKUP(F87,Tabelle1!$A$2:$C$496,3,0))</f>
        <v/>
      </c>
      <c r="E87" s="57" t="str">
        <f>IF(K87="","",VLOOKUP(F87,Tabelle1!$A$2:$M$496,13,0))</f>
        <v/>
      </c>
      <c r="F87" s="56"/>
      <c r="G87" s="57"/>
      <c r="H87" s="57"/>
      <c r="I87" s="57"/>
      <c r="J87" s="57"/>
      <c r="K87" s="57"/>
      <c r="L87" s="118" t="str">
        <f>IF(K87="","",VLOOKUP(F87,Tabelle1!$A$2:$I$496,9,0))</f>
        <v/>
      </c>
      <c r="M87" s="57" t="str">
        <f>IF(K87="","",VLOOKUP(F87,Tabelle1!$A$2:$G$496,7,0))</f>
        <v/>
      </c>
      <c r="N87" s="66" t="str">
        <f t="shared" si="4"/>
        <v/>
      </c>
      <c r="O87" s="66" t="str">
        <f>IF(K87="","",((K87*VLOOKUP(F87,Tabelle1!$A$2:$I$496,8,0))/$W$4))</f>
        <v/>
      </c>
      <c r="P87" s="76" t="str">
        <f>IF(K87="","",VLOOKUP(F87,Tabelle1!$A$2:$L$496,12,0))</f>
        <v/>
      </c>
    </row>
    <row r="88" spans="1:16">
      <c r="A88" s="67"/>
      <c r="B88" s="55"/>
      <c r="C88" s="55"/>
      <c r="D88" s="57" t="str">
        <f>IF(K88="","",VLOOKUP(F88,Tabelle1!$A$2:$C$496,3,0))</f>
        <v/>
      </c>
      <c r="E88" s="57" t="str">
        <f>IF(K88="","",VLOOKUP(F88,Tabelle1!$A$2:$M$496,13,0))</f>
        <v/>
      </c>
      <c r="F88" s="56"/>
      <c r="G88" s="57"/>
      <c r="H88" s="57"/>
      <c r="I88" s="57"/>
      <c r="J88" s="57"/>
      <c r="K88" s="57"/>
      <c r="L88" s="118" t="str">
        <f>IF(K88="","",VLOOKUP(F88,Tabelle1!$A$2:$I$496,9,0))</f>
        <v/>
      </c>
      <c r="M88" s="57" t="str">
        <f>IF(K88="","",VLOOKUP(F88,Tabelle1!$A$2:$G$496,7,0))</f>
        <v/>
      </c>
      <c r="N88" s="66" t="str">
        <f t="shared" si="4"/>
        <v/>
      </c>
      <c r="O88" s="66" t="str">
        <f>IF(K88="","",((K88*VLOOKUP(F88,Tabelle1!$A$2:$I$496,8,0))/$W$4))</f>
        <v/>
      </c>
      <c r="P88" s="76" t="str">
        <f>IF(K88="","",VLOOKUP(F88,Tabelle1!$A$2:$L$496,12,0))</f>
        <v/>
      </c>
    </row>
    <row r="89" spans="1:16">
      <c r="A89" s="67"/>
      <c r="B89" s="55"/>
      <c r="C89" s="55"/>
      <c r="D89" s="57" t="str">
        <f>IF(K89="","",VLOOKUP(F89,Tabelle1!$A$2:$C$496,3,0))</f>
        <v/>
      </c>
      <c r="E89" s="57" t="str">
        <f>IF(K89="","",VLOOKUP(F89,Tabelle1!$A$2:$M$496,13,0))</f>
        <v/>
      </c>
      <c r="F89" s="56"/>
      <c r="G89" s="57"/>
      <c r="H89" s="57"/>
      <c r="I89" s="57"/>
      <c r="J89" s="57"/>
      <c r="K89" s="57"/>
      <c r="L89" s="118" t="str">
        <f>IF(K89="","",VLOOKUP(F89,Tabelle1!$A$2:$I$496,9,0))</f>
        <v/>
      </c>
      <c r="M89" s="57" t="str">
        <f>IF(K89="","",VLOOKUP(F89,Tabelle1!$A$2:$G$496,7,0))</f>
        <v/>
      </c>
      <c r="N89" s="66" t="str">
        <f t="shared" si="4"/>
        <v/>
      </c>
      <c r="O89" s="66" t="str">
        <f>IF(K89="","",((K89*VLOOKUP(F89,Tabelle1!$A$2:$I$496,8,0))/$W$4))</f>
        <v/>
      </c>
      <c r="P89" s="76" t="str">
        <f>IF(K89="","",VLOOKUP(F89,Tabelle1!$A$2:$L$496,12,0))</f>
        <v/>
      </c>
    </row>
    <row r="90" spans="1:16">
      <c r="A90" s="67"/>
      <c r="B90" s="55"/>
      <c r="C90" s="55"/>
      <c r="D90" s="57" t="str">
        <f>IF(K90="","",VLOOKUP(F90,Tabelle1!$A$2:$C$496,3,0))</f>
        <v/>
      </c>
      <c r="E90" s="57" t="str">
        <f>IF(K90="","",VLOOKUP(F90,Tabelle1!$A$2:$M$496,13,0))</f>
        <v/>
      </c>
      <c r="F90" s="56"/>
      <c r="G90" s="57"/>
      <c r="H90" s="57"/>
      <c r="I90" s="57"/>
      <c r="J90" s="57"/>
      <c r="K90" s="57"/>
      <c r="L90" s="118" t="str">
        <f>IF(K90="","",VLOOKUP(F90,Tabelle1!$A$2:$I$496,9,0))</f>
        <v/>
      </c>
      <c r="M90" s="57" t="str">
        <f>IF(K90="","",VLOOKUP(F90,Tabelle1!$A$2:$G$496,7,0))</f>
        <v/>
      </c>
      <c r="N90" s="66" t="str">
        <f t="shared" si="4"/>
        <v/>
      </c>
      <c r="O90" s="66" t="str">
        <f>IF(K90="","",((K90*VLOOKUP(F90,Tabelle1!$A$2:$I$496,8,0))/$W$4))</f>
        <v/>
      </c>
      <c r="P90" s="76" t="str">
        <f>IF(K90="","",VLOOKUP(F90,Tabelle1!$A$2:$L$496,12,0))</f>
        <v/>
      </c>
    </row>
    <row r="91" spans="1:16">
      <c r="A91" s="67"/>
      <c r="B91" s="55"/>
      <c r="C91" s="55"/>
      <c r="D91" s="57" t="str">
        <f>IF(K91="","",VLOOKUP(F91,Tabelle1!$A$2:$C$496,3,0))</f>
        <v/>
      </c>
      <c r="E91" s="57" t="str">
        <f>IF(K91="","",VLOOKUP(F91,Tabelle1!$A$2:$M$496,13,0))</f>
        <v/>
      </c>
      <c r="F91" s="56"/>
      <c r="G91" s="57"/>
      <c r="H91" s="57"/>
      <c r="I91" s="57"/>
      <c r="J91" s="57"/>
      <c r="K91" s="57"/>
      <c r="L91" s="118" t="str">
        <f>IF(K91="","",VLOOKUP(F91,Tabelle1!$A$2:$I$496,9,0))</f>
        <v/>
      </c>
      <c r="M91" s="57" t="str">
        <f>IF(K91="","",VLOOKUP(F91,Tabelle1!$A$2:$G$496,7,0))</f>
        <v/>
      </c>
      <c r="N91" s="66" t="str">
        <f t="shared" si="4"/>
        <v/>
      </c>
      <c r="O91" s="66" t="str">
        <f>IF(K91="","",((K91*VLOOKUP(F91,Tabelle1!$A$2:$I$496,8,0))/$W$4))</f>
        <v/>
      </c>
      <c r="P91" s="76" t="str">
        <f>IF(K91="","",VLOOKUP(F91,Tabelle1!$A$2:$L$496,12,0))</f>
        <v/>
      </c>
    </row>
    <row r="92" spans="1:16">
      <c r="A92" s="67"/>
      <c r="B92" s="55"/>
      <c r="C92" s="55"/>
      <c r="D92" s="57" t="str">
        <f>IF(K92="","",VLOOKUP(F92,Tabelle1!$A$2:$C$496,3,0))</f>
        <v/>
      </c>
      <c r="E92" s="57" t="str">
        <f>IF(K92="","",VLOOKUP(F92,Tabelle1!$A$2:$M$496,13,0))</f>
        <v/>
      </c>
      <c r="F92" s="56"/>
      <c r="G92" s="57"/>
      <c r="H92" s="57"/>
      <c r="I92" s="57"/>
      <c r="J92" s="57"/>
      <c r="K92" s="57"/>
      <c r="L92" s="118" t="str">
        <f>IF(K92="","",VLOOKUP(F92,Tabelle1!$A$2:$I$496,9,0))</f>
        <v/>
      </c>
      <c r="M92" s="57" t="str">
        <f>IF(K92="","",VLOOKUP(F92,Tabelle1!$A$2:$G$496,7,0))</f>
        <v/>
      </c>
      <c r="N92" s="66" t="str">
        <f t="shared" si="4"/>
        <v/>
      </c>
      <c r="O92" s="66" t="str">
        <f>IF(K92="","",((K92*VLOOKUP(F92,Tabelle1!$A$2:$I$496,8,0))/$W$4))</f>
        <v/>
      </c>
      <c r="P92" s="76" t="str">
        <f>IF(K92="","",VLOOKUP(F92,Tabelle1!$A$2:$L$496,12,0))</f>
        <v/>
      </c>
    </row>
    <row r="93" spans="1:16">
      <c r="A93" s="67"/>
      <c r="B93" s="55"/>
      <c r="C93" s="55"/>
      <c r="D93" s="57" t="str">
        <f>IF(K93="","",VLOOKUP(F93,Tabelle1!$A$2:$C$496,3,0))</f>
        <v/>
      </c>
      <c r="E93" s="57" t="str">
        <f>IF(K93="","",VLOOKUP(F93,Tabelle1!$A$2:$M$496,13,0))</f>
        <v/>
      </c>
      <c r="F93" s="56"/>
      <c r="G93" s="57"/>
      <c r="H93" s="57"/>
      <c r="I93" s="57"/>
      <c r="J93" s="57"/>
      <c r="K93" s="57"/>
      <c r="L93" s="118" t="str">
        <f>IF(K93="","",VLOOKUP(F93,Tabelle1!$A$2:$I$496,9,0))</f>
        <v/>
      </c>
      <c r="M93" s="57" t="str">
        <f>IF(K93="","",VLOOKUP(F93,Tabelle1!$A$2:$G$496,7,0))</f>
        <v/>
      </c>
      <c r="N93" s="66" t="str">
        <f t="shared" si="4"/>
        <v/>
      </c>
      <c r="O93" s="66" t="str">
        <f>IF(K93="","",((K93*VLOOKUP(F93,Tabelle1!$A$2:$I$496,8,0))/$W$4))</f>
        <v/>
      </c>
      <c r="P93" s="76" t="str">
        <f>IF(K93="","",VLOOKUP(F93,Tabelle1!$A$2:$L$496,12,0))</f>
        <v/>
      </c>
    </row>
    <row r="94" spans="1:16">
      <c r="A94" s="67"/>
      <c r="B94" s="55"/>
      <c r="C94" s="55"/>
      <c r="D94" s="57" t="str">
        <f>IF(K94="","",VLOOKUP(F94,Tabelle1!$A$2:$C$496,3,0))</f>
        <v/>
      </c>
      <c r="E94" s="57" t="str">
        <f>IF(K94="","",VLOOKUP(F94,Tabelle1!$A$2:$M$496,13,0))</f>
        <v/>
      </c>
      <c r="F94" s="56"/>
      <c r="G94" s="57"/>
      <c r="H94" s="57"/>
      <c r="I94" s="57"/>
      <c r="J94" s="57"/>
      <c r="K94" s="57"/>
      <c r="L94" s="118" t="str">
        <f>IF(K94="","",VLOOKUP(F94,Tabelle1!$A$2:$I$496,9,0))</f>
        <v/>
      </c>
      <c r="M94" s="57" t="str">
        <f>IF(K94="","",VLOOKUP(F94,Tabelle1!$A$2:$G$496,7,0))</f>
        <v/>
      </c>
      <c r="N94" s="66" t="str">
        <f t="shared" si="4"/>
        <v/>
      </c>
      <c r="O94" s="66" t="str">
        <f>IF(K94="","",((K94*VLOOKUP(F94,Tabelle1!$A$2:$I$496,8,0))/$W$4))</f>
        <v/>
      </c>
      <c r="P94" s="76" t="str">
        <f>IF(K94="","",VLOOKUP(F94,Tabelle1!$A$2:$L$496,12,0))</f>
        <v/>
      </c>
    </row>
    <row r="95" spans="1:16">
      <c r="A95" s="67"/>
      <c r="B95" s="55"/>
      <c r="C95" s="55"/>
      <c r="D95" s="57" t="str">
        <f>IF(K95="","",VLOOKUP(F95,Tabelle1!$A$2:$C$496,3,0))</f>
        <v/>
      </c>
      <c r="E95" s="57" t="str">
        <f>IF(K95="","",VLOOKUP(F95,Tabelle1!$A$2:$M$496,13,0))</f>
        <v/>
      </c>
      <c r="F95" s="56"/>
      <c r="G95" s="57"/>
      <c r="H95" s="57"/>
      <c r="I95" s="57"/>
      <c r="J95" s="57"/>
      <c r="K95" s="57"/>
      <c r="L95" s="118" t="str">
        <f>IF(K95="","",VLOOKUP(F95,Tabelle1!$A$2:$I$496,9,0))</f>
        <v/>
      </c>
      <c r="M95" s="57" t="str">
        <f>IF(K95="","",VLOOKUP(F95,Tabelle1!$A$2:$G$496,7,0))</f>
        <v/>
      </c>
      <c r="N95" s="66" t="str">
        <f t="shared" si="4"/>
        <v/>
      </c>
      <c r="O95" s="66" t="str">
        <f>IF(K95="","",((K95*VLOOKUP(F95,Tabelle1!$A$2:$I$496,8,0))/$W$4))</f>
        <v/>
      </c>
      <c r="P95" s="76" t="str">
        <f>IF(K95="","",VLOOKUP(F95,Tabelle1!$A$2:$L$496,12,0))</f>
        <v/>
      </c>
    </row>
    <row r="96" spans="1:16">
      <c r="A96" s="67"/>
      <c r="B96" s="55"/>
      <c r="C96" s="55"/>
      <c r="D96" s="57" t="str">
        <f>IF(K96="","",VLOOKUP(F96,Tabelle1!$A$2:$C$496,3,0))</f>
        <v/>
      </c>
      <c r="E96" s="57" t="str">
        <f>IF(K96="","",VLOOKUP(F96,Tabelle1!$A$2:$M$496,13,0))</f>
        <v/>
      </c>
      <c r="F96" s="56"/>
      <c r="G96" s="57"/>
      <c r="H96" s="57"/>
      <c r="I96" s="57"/>
      <c r="J96" s="57"/>
      <c r="K96" s="57"/>
      <c r="L96" s="118" t="str">
        <f>IF(K96="","",VLOOKUP(F96,Tabelle1!$A$2:$I$496,9,0))</f>
        <v/>
      </c>
      <c r="M96" s="57" t="str">
        <f>IF(K96="","",VLOOKUP(F96,Tabelle1!$A$2:$G$496,7,0))</f>
        <v/>
      </c>
      <c r="N96" s="66" t="str">
        <f t="shared" si="4"/>
        <v/>
      </c>
      <c r="O96" s="66" t="str">
        <f>IF(K96="","",((K96*VLOOKUP(F96,Tabelle1!$A$2:$I$496,8,0))/$W$4))</f>
        <v/>
      </c>
      <c r="P96" s="76" t="str">
        <f>IF(K96="","",VLOOKUP(F96,Tabelle1!$A$2:$L$496,12,0))</f>
        <v/>
      </c>
    </row>
    <row r="97" spans="1:16">
      <c r="A97" s="67"/>
      <c r="B97" s="55"/>
      <c r="C97" s="55"/>
      <c r="D97" s="57" t="str">
        <f>IF(K97="","",VLOOKUP(F97,Tabelle1!$A$2:$C$496,3,0))</f>
        <v/>
      </c>
      <c r="E97" s="57" t="str">
        <f>IF(K97="","",VLOOKUP(F97,Tabelle1!$A$2:$M$496,13,0))</f>
        <v/>
      </c>
      <c r="F97" s="56"/>
      <c r="G97" s="57"/>
      <c r="H97" s="57"/>
      <c r="I97" s="57"/>
      <c r="J97" s="57"/>
      <c r="K97" s="57"/>
      <c r="L97" s="118" t="str">
        <f>IF(K97="","",VLOOKUP(F97,Tabelle1!$A$2:$I$496,9,0))</f>
        <v/>
      </c>
      <c r="M97" s="57" t="str">
        <f>IF(K97="","",VLOOKUP(F97,Tabelle1!$A$2:$G$496,7,0))</f>
        <v/>
      </c>
      <c r="N97" s="66" t="str">
        <f t="shared" si="4"/>
        <v/>
      </c>
      <c r="O97" s="66" t="str">
        <f>IF(K97="","",((K97*VLOOKUP(F97,Tabelle1!$A$2:$I$496,8,0))/$W$4))</f>
        <v/>
      </c>
      <c r="P97" s="76" t="str">
        <f>IF(K97="","",VLOOKUP(F97,Tabelle1!$A$2:$L$496,12,0))</f>
        <v/>
      </c>
    </row>
    <row r="98" spans="1:16">
      <c r="A98" s="67"/>
      <c r="B98" s="55"/>
      <c r="C98" s="55"/>
      <c r="D98" s="57" t="str">
        <f>IF(K98="","",VLOOKUP(F98,Tabelle1!$A$2:$C$496,3,0))</f>
        <v/>
      </c>
      <c r="E98" s="57" t="str">
        <f>IF(K98="","",VLOOKUP(F98,Tabelle1!$A$2:$M$496,13,0))</f>
        <v/>
      </c>
      <c r="F98" s="56"/>
      <c r="G98" s="57"/>
      <c r="H98" s="57"/>
      <c r="I98" s="57"/>
      <c r="J98" s="57"/>
      <c r="K98" s="57"/>
      <c r="L98" s="118" t="str">
        <f>IF(K98="","",VLOOKUP(F98,Tabelle1!$A$2:$I$496,9,0))</f>
        <v/>
      </c>
      <c r="M98" s="57" t="str">
        <f>IF(K98="","",VLOOKUP(F98,Tabelle1!$A$2:$G$496,7,0))</f>
        <v/>
      </c>
      <c r="N98" s="66" t="str">
        <f t="shared" si="4"/>
        <v/>
      </c>
      <c r="O98" s="66" t="str">
        <f>IF(K98="","",((K98*VLOOKUP(F98,Tabelle1!$A$2:$I$496,8,0))/$W$4))</f>
        <v/>
      </c>
      <c r="P98" s="76" t="str">
        <f>IF(K98="","",VLOOKUP(F98,Tabelle1!$A$2:$L$496,12,0))</f>
        <v/>
      </c>
    </row>
    <row r="99" spans="1:16">
      <c r="A99" s="67"/>
      <c r="B99" s="55"/>
      <c r="C99" s="55"/>
      <c r="D99" s="57" t="str">
        <f>IF(K99="","",VLOOKUP(F99,Tabelle1!$A$2:$C$496,3,0))</f>
        <v/>
      </c>
      <c r="E99" s="57" t="str">
        <f>IF(K99="","",VLOOKUP(F99,Tabelle1!$A$2:$M$496,13,0))</f>
        <v/>
      </c>
      <c r="F99" s="56"/>
      <c r="G99" s="57"/>
      <c r="H99" s="57"/>
      <c r="I99" s="57"/>
      <c r="J99" s="57"/>
      <c r="K99" s="57"/>
      <c r="L99" s="118" t="str">
        <f>IF(K99="","",VLOOKUP(F99,Tabelle1!$A$2:$I$496,9,0))</f>
        <v/>
      </c>
      <c r="M99" s="57" t="str">
        <f>IF(K99="","",VLOOKUP(F99,Tabelle1!$A$2:$G$496,7,0))</f>
        <v/>
      </c>
      <c r="N99" s="66" t="str">
        <f t="shared" si="4"/>
        <v/>
      </c>
      <c r="O99" s="66" t="str">
        <f>IF(K99="","",((K99*VLOOKUP(F99,Tabelle1!$A$2:$I$496,8,0))/$W$4))</f>
        <v/>
      </c>
      <c r="P99" s="76" t="str">
        <f>IF(K99="","",VLOOKUP(F99,Tabelle1!$A$2:$L$496,12,0))</f>
        <v/>
      </c>
    </row>
    <row r="100" spans="1:16">
      <c r="A100" s="67"/>
      <c r="B100" s="55"/>
      <c r="C100" s="55"/>
      <c r="D100" s="57" t="str">
        <f>IF(K100="","",VLOOKUP(F100,Tabelle1!$A$2:$C$496,3,0))</f>
        <v/>
      </c>
      <c r="E100" s="57" t="str">
        <f>IF(K100="","",VLOOKUP(F100,Tabelle1!$A$2:$M$496,13,0))</f>
        <v/>
      </c>
      <c r="F100" s="56"/>
      <c r="G100" s="57"/>
      <c r="H100" s="57"/>
      <c r="I100" s="57"/>
      <c r="J100" s="57"/>
      <c r="K100" s="57"/>
      <c r="L100" s="118" t="str">
        <f>IF(K100="","",VLOOKUP(F100,Tabelle1!$A$2:$I$496,9,0))</f>
        <v/>
      </c>
      <c r="M100" s="57" t="str">
        <f>IF(K100="","",VLOOKUP(F100,Tabelle1!$A$2:$G$496,7,0))</f>
        <v/>
      </c>
      <c r="N100" s="66" t="str">
        <f t="shared" si="4"/>
        <v/>
      </c>
      <c r="O100" s="66" t="str">
        <f>IF(K100="","",((K100*VLOOKUP(F100,Tabelle1!$A$2:$I$496,8,0))/$W$4))</f>
        <v/>
      </c>
      <c r="P100" s="76" t="str">
        <f>IF(K100="","",VLOOKUP(F100,Tabelle1!$A$2:$L$496,12,0))</f>
        <v/>
      </c>
    </row>
    <row r="101" spans="1:16">
      <c r="A101" s="67"/>
      <c r="B101" s="55"/>
      <c r="C101" s="55"/>
      <c r="D101" s="57" t="str">
        <f>IF(K101="","",VLOOKUP(F101,Tabelle1!$A$2:$C$496,3,0))</f>
        <v/>
      </c>
      <c r="E101" s="57" t="str">
        <f>IF(K101="","",VLOOKUP(F101,Tabelle1!$A$2:$M$496,13,0))</f>
        <v/>
      </c>
      <c r="F101" s="56"/>
      <c r="G101" s="57"/>
      <c r="H101" s="57"/>
      <c r="I101" s="57"/>
      <c r="J101" s="57"/>
      <c r="K101" s="57"/>
      <c r="L101" s="118" t="str">
        <f>IF(K101="","",VLOOKUP(F101,Tabelle1!$A$2:$I$496,9,0))</f>
        <v/>
      </c>
      <c r="M101" s="57" t="str">
        <f>IF(K101="","",VLOOKUP(F101,Tabelle1!$A$2:$G$496,7,0))</f>
        <v/>
      </c>
      <c r="N101" s="66" t="str">
        <f t="shared" si="4"/>
        <v/>
      </c>
      <c r="O101" s="66" t="str">
        <f>IF(K101="","",((K101*VLOOKUP(F101,Tabelle1!$A$2:$I$496,8,0))/$W$4))</f>
        <v/>
      </c>
      <c r="P101" s="76" t="str">
        <f>IF(K101="","",VLOOKUP(F101,Tabelle1!$A$2:$L$496,12,0))</f>
        <v/>
      </c>
    </row>
    <row r="102" spans="1:16">
      <c r="A102" s="67"/>
      <c r="B102" s="55"/>
      <c r="C102" s="55"/>
      <c r="D102" s="57" t="str">
        <f>IF(K102="","",VLOOKUP(F102,Tabelle1!$A$2:$C$496,3,0))</f>
        <v/>
      </c>
      <c r="E102" s="57" t="str">
        <f>IF(K102="","",VLOOKUP(F102,Tabelle1!$A$2:$M$496,13,0))</f>
        <v/>
      </c>
      <c r="F102" s="56"/>
      <c r="G102" s="57"/>
      <c r="H102" s="57"/>
      <c r="I102" s="57"/>
      <c r="J102" s="57"/>
      <c r="K102" s="57"/>
      <c r="L102" s="118" t="str">
        <f>IF(K102="","",VLOOKUP(F102,Tabelle1!$A$2:$I$496,9,0))</f>
        <v/>
      </c>
      <c r="M102" s="57" t="str">
        <f>IF(K102="","",VLOOKUP(F102,Tabelle1!$A$2:$G$496,7,0))</f>
        <v/>
      </c>
      <c r="N102" s="66" t="str">
        <f t="shared" si="4"/>
        <v/>
      </c>
      <c r="O102" s="66" t="str">
        <f>IF(K102="","",((K102*VLOOKUP(F102,Tabelle1!$A$2:$I$496,8,0))/$W$4))</f>
        <v/>
      </c>
      <c r="P102" s="76" t="str">
        <f>IF(K102="","",VLOOKUP(F102,Tabelle1!$A$2:$L$496,12,0))</f>
        <v/>
      </c>
    </row>
    <row r="103" spans="1:16">
      <c r="A103" s="67"/>
      <c r="B103" s="55"/>
      <c r="C103" s="55"/>
      <c r="D103" s="57" t="str">
        <f>IF(K103="","",VLOOKUP(F103,Tabelle1!$A$2:$C$496,3,0))</f>
        <v/>
      </c>
      <c r="E103" s="57" t="str">
        <f>IF(K103="","",VLOOKUP(F103,Tabelle1!$A$2:$M$496,13,0))</f>
        <v/>
      </c>
      <c r="F103" s="56"/>
      <c r="G103" s="57"/>
      <c r="H103" s="57"/>
      <c r="I103" s="57"/>
      <c r="J103" s="57"/>
      <c r="K103" s="57"/>
      <c r="L103" s="118" t="str">
        <f>IF(K103="","",VLOOKUP(F103,Tabelle1!$A$2:$I$496,9,0))</f>
        <v/>
      </c>
      <c r="M103" s="57" t="str">
        <f>IF(K103="","",VLOOKUP(F103,Tabelle1!$A$2:$G$496,7,0))</f>
        <v/>
      </c>
      <c r="N103" s="66" t="str">
        <f t="shared" si="4"/>
        <v/>
      </c>
      <c r="O103" s="66" t="str">
        <f>IF(K103="","",((K103*VLOOKUP(F103,Tabelle1!$A$2:$I$496,8,0))/$W$4))</f>
        <v/>
      </c>
      <c r="P103" s="76" t="str">
        <f>IF(K103="","",VLOOKUP(F103,Tabelle1!$A$2:$L$496,12,0))</f>
        <v/>
      </c>
    </row>
    <row r="104" spans="1:16">
      <c r="A104" s="67"/>
      <c r="B104" s="55"/>
      <c r="C104" s="55"/>
      <c r="D104" s="57" t="str">
        <f>IF(K104="","",VLOOKUP(F104,Tabelle1!$A$2:$C$496,3,0))</f>
        <v/>
      </c>
      <c r="E104" s="57" t="str">
        <f>IF(K104="","",VLOOKUP(F104,Tabelle1!$A$2:$M$496,13,0))</f>
        <v/>
      </c>
      <c r="F104" s="56"/>
      <c r="G104" s="57"/>
      <c r="H104" s="57"/>
      <c r="I104" s="57"/>
      <c r="J104" s="57"/>
      <c r="K104" s="57"/>
      <c r="L104" s="118" t="str">
        <f>IF(K104="","",VLOOKUP(F104,Tabelle1!$A$2:$I$496,9,0))</f>
        <v/>
      </c>
      <c r="M104" s="57" t="str">
        <f>IF(K104="","",VLOOKUP(F104,Tabelle1!$A$2:$G$496,7,0))</f>
        <v/>
      </c>
      <c r="N104" s="66" t="str">
        <f t="shared" si="4"/>
        <v/>
      </c>
      <c r="O104" s="66" t="str">
        <f>IF(K104="","",((K104*VLOOKUP(F104,Tabelle1!$A$2:$I$496,8,0))/$W$4))</f>
        <v/>
      </c>
      <c r="P104" s="76" t="str">
        <f>IF(K104="","",VLOOKUP(F104,Tabelle1!$A$2:$L$496,12,0))</f>
        <v/>
      </c>
    </row>
    <row r="105" spans="1:16">
      <c r="A105" s="67"/>
      <c r="B105" s="55"/>
      <c r="C105" s="55"/>
      <c r="D105" s="57" t="str">
        <f>IF(K105="","",VLOOKUP(F105,Tabelle1!$A$2:$C$496,3,0))</f>
        <v/>
      </c>
      <c r="E105" s="57" t="str">
        <f>IF(K105="","",VLOOKUP(F105,Tabelle1!$A$2:$M$496,13,0))</f>
        <v/>
      </c>
      <c r="F105" s="56"/>
      <c r="G105" s="57"/>
      <c r="H105" s="57"/>
      <c r="I105" s="57"/>
      <c r="J105" s="57"/>
      <c r="K105" s="57"/>
      <c r="L105" s="118" t="str">
        <f>IF(K105="","",VLOOKUP(F105,Tabelle1!$A$2:$I$496,9,0))</f>
        <v/>
      </c>
      <c r="M105" s="57" t="str">
        <f>IF(K105="","",VLOOKUP(F105,Tabelle1!$A$2:$G$496,7,0))</f>
        <v/>
      </c>
      <c r="N105" s="66" t="str">
        <f t="shared" si="4"/>
        <v/>
      </c>
      <c r="O105" s="66" t="str">
        <f>IF(K105="","",((K105*VLOOKUP(F105,Tabelle1!$A$2:$I$496,8,0))/$W$4))</f>
        <v/>
      </c>
      <c r="P105" s="76" t="str">
        <f>IF(K105="","",VLOOKUP(F105,Tabelle1!$A$2:$L$496,12,0))</f>
        <v/>
      </c>
    </row>
    <row r="106" spans="1:16">
      <c r="A106" s="67"/>
      <c r="B106" s="55"/>
      <c r="C106" s="55"/>
      <c r="D106" s="57" t="str">
        <f>IF(K106="","",VLOOKUP(F106,Tabelle1!$A$2:$C$496,3,0))</f>
        <v/>
      </c>
      <c r="E106" s="57" t="str">
        <f>IF(K106="","",VLOOKUP(F106,Tabelle1!$A$2:$M$496,13,0))</f>
        <v/>
      </c>
      <c r="F106" s="56"/>
      <c r="G106" s="57"/>
      <c r="H106" s="57"/>
      <c r="I106" s="57"/>
      <c r="J106" s="57"/>
      <c r="K106" s="57"/>
      <c r="L106" s="118" t="str">
        <f>IF(K106="","",VLOOKUP(F106,Tabelle1!$A$2:$I$496,9,0))</f>
        <v/>
      </c>
      <c r="M106" s="57" t="str">
        <f>IF(K106="","",VLOOKUP(F106,Tabelle1!$A$2:$G$496,7,0))</f>
        <v/>
      </c>
      <c r="N106" s="66" t="str">
        <f t="shared" si="4"/>
        <v/>
      </c>
      <c r="O106" s="66" t="str">
        <f>IF(K106="","",((K106*VLOOKUP(F106,Tabelle1!$A$2:$I$496,8,0))/$W$4))</f>
        <v/>
      </c>
      <c r="P106" s="76" t="str">
        <f>IF(K106="","",VLOOKUP(F106,Tabelle1!$A$2:$L$496,12,0))</f>
        <v/>
      </c>
    </row>
    <row r="107" spans="1:16">
      <c r="A107" s="67"/>
      <c r="B107" s="55"/>
      <c r="C107" s="55"/>
      <c r="D107" s="57" t="str">
        <f>IF(K107="","",VLOOKUP(F107,Tabelle1!$A$2:$C$496,3,0))</f>
        <v/>
      </c>
      <c r="E107" s="57" t="str">
        <f>IF(K107="","",VLOOKUP(F107,Tabelle1!$A$2:$M$496,13,0))</f>
        <v/>
      </c>
      <c r="F107" s="56"/>
      <c r="G107" s="57"/>
      <c r="H107" s="57"/>
      <c r="I107" s="57"/>
      <c r="J107" s="57"/>
      <c r="K107" s="57"/>
      <c r="L107" s="118" t="str">
        <f>IF(K107="","",VLOOKUP(F107,Tabelle1!$A$2:$I$496,9,0))</f>
        <v/>
      </c>
      <c r="M107" s="57" t="str">
        <f>IF(K107="","",VLOOKUP(F107,Tabelle1!$A$2:$G$496,7,0))</f>
        <v/>
      </c>
      <c r="N107" s="66" t="str">
        <f t="shared" si="4"/>
        <v/>
      </c>
      <c r="O107" s="66" t="str">
        <f>IF(K107="","",((K107*VLOOKUP(F107,Tabelle1!$A$2:$I$496,8,0))/$W$4))</f>
        <v/>
      </c>
      <c r="P107" s="76" t="str">
        <f>IF(K107="","",VLOOKUP(F107,Tabelle1!$A$2:$L$496,12,0))</f>
        <v/>
      </c>
    </row>
    <row r="108" spans="1:16">
      <c r="A108" s="67"/>
      <c r="B108" s="55"/>
      <c r="C108" s="55"/>
      <c r="D108" s="57" t="str">
        <f>IF(K108="","",VLOOKUP(F108,Tabelle1!$A$2:$C$496,3,0))</f>
        <v/>
      </c>
      <c r="E108" s="57" t="str">
        <f>IF(K108="","",VLOOKUP(F108,Tabelle1!$A$2:$M$496,13,0))</f>
        <v/>
      </c>
      <c r="F108" s="56"/>
      <c r="G108" s="57"/>
      <c r="H108" s="57"/>
      <c r="I108" s="57"/>
      <c r="J108" s="57"/>
      <c r="K108" s="57"/>
      <c r="L108" s="118" t="str">
        <f>IF(K108="","",VLOOKUP(F108,Tabelle1!$A$2:$I$496,9,0))</f>
        <v/>
      </c>
      <c r="M108" s="57" t="str">
        <f>IF(K108="","",VLOOKUP(F108,Tabelle1!$A$2:$G$496,7,0))</f>
        <v/>
      </c>
      <c r="N108" s="66" t="str">
        <f t="shared" si="4"/>
        <v/>
      </c>
      <c r="O108" s="66" t="str">
        <f>IF(K108="","",((K108*VLOOKUP(F108,Tabelle1!$A$2:$I$496,8,0))/$W$4))</f>
        <v/>
      </c>
      <c r="P108" s="76" t="str">
        <f>IF(K108="","",VLOOKUP(F108,Tabelle1!$A$2:$L$496,12,0))</f>
        <v/>
      </c>
    </row>
    <row r="109" spans="1:16">
      <c r="A109" s="67"/>
      <c r="B109" s="55"/>
      <c r="C109" s="55"/>
      <c r="D109" s="57" t="str">
        <f>IF(K109="","",VLOOKUP(F109,Tabelle1!$A$2:$C$496,3,0))</f>
        <v/>
      </c>
      <c r="E109" s="57" t="str">
        <f>IF(K109="","",VLOOKUP(F109,Tabelle1!$A$2:$M$496,13,0))</f>
        <v/>
      </c>
      <c r="F109" s="56"/>
      <c r="G109" s="57"/>
      <c r="H109" s="57"/>
      <c r="I109" s="57"/>
      <c r="J109" s="57"/>
      <c r="K109" s="57"/>
      <c r="L109" s="118" t="str">
        <f>IF(K109="","",VLOOKUP(F109,Tabelle1!$A$2:$I$496,9,0))</f>
        <v/>
      </c>
      <c r="M109" s="57" t="str">
        <f>IF(K109="","",VLOOKUP(F109,Tabelle1!$A$2:$G$496,7,0))</f>
        <v/>
      </c>
      <c r="N109" s="66" t="str">
        <f t="shared" si="4"/>
        <v/>
      </c>
      <c r="O109" s="66" t="str">
        <f>IF(K109="","",((K109*VLOOKUP(F109,Tabelle1!$A$2:$I$496,8,0))/$W$4))</f>
        <v/>
      </c>
      <c r="P109" s="76" t="str">
        <f>IF(K109="","",VLOOKUP(F109,Tabelle1!$A$2:$L$496,12,0))</f>
        <v/>
      </c>
    </row>
    <row r="110" spans="1:16">
      <c r="A110" s="67"/>
      <c r="B110" s="55"/>
      <c r="C110" s="55"/>
      <c r="D110" s="57" t="str">
        <f>IF(K110="","",VLOOKUP(F110,Tabelle1!$A$2:$C$496,3,0))</f>
        <v/>
      </c>
      <c r="E110" s="57" t="str">
        <f>IF(K110="","",VLOOKUP(F110,Tabelle1!$A$2:$M$496,13,0))</f>
        <v/>
      </c>
      <c r="F110" s="56"/>
      <c r="G110" s="57"/>
      <c r="H110" s="57"/>
      <c r="I110" s="57"/>
      <c r="J110" s="57"/>
      <c r="K110" s="57"/>
      <c r="L110" s="118" t="str">
        <f>IF(K110="","",VLOOKUP(F110,Tabelle1!$A$2:$I$496,9,0))</f>
        <v/>
      </c>
      <c r="M110" s="57" t="str">
        <f>IF(K110="","",VLOOKUP(F110,Tabelle1!$A$2:$G$496,7,0))</f>
        <v/>
      </c>
      <c r="N110" s="66" t="str">
        <f t="shared" si="4"/>
        <v/>
      </c>
      <c r="O110" s="66" t="str">
        <f>IF(K110="","",((K110*VLOOKUP(F110,Tabelle1!$A$2:$I$496,8,0))/$W$4))</f>
        <v/>
      </c>
      <c r="P110" s="76" t="str">
        <f>IF(K110="","",VLOOKUP(F110,Tabelle1!$A$2:$L$496,12,0))</f>
        <v/>
      </c>
    </row>
    <row r="111" spans="1:16">
      <c r="A111" s="67"/>
      <c r="B111" s="55"/>
      <c r="C111" s="55"/>
      <c r="D111" s="57" t="str">
        <f>IF(K111="","",VLOOKUP(F111,Tabelle1!$A$2:$C$496,3,0))</f>
        <v/>
      </c>
      <c r="E111" s="57" t="str">
        <f>IF(K111="","",VLOOKUP(F111,Tabelle1!$A$2:$M$496,13,0))</f>
        <v/>
      </c>
      <c r="F111" s="56"/>
      <c r="G111" s="57"/>
      <c r="H111" s="57"/>
      <c r="I111" s="57"/>
      <c r="J111" s="57"/>
      <c r="K111" s="57"/>
      <c r="L111" s="118" t="str">
        <f>IF(K111="","",VLOOKUP(F111,Tabelle1!$A$2:$I$496,9,0))</f>
        <v/>
      </c>
      <c r="M111" s="57" t="str">
        <f>IF(K111="","",VLOOKUP(F111,Tabelle1!$A$2:$G$496,7,0))</f>
        <v/>
      </c>
      <c r="N111" s="66" t="str">
        <f t="shared" si="4"/>
        <v/>
      </c>
      <c r="O111" s="66" t="str">
        <f>IF(K111="","",((K111*VLOOKUP(F111,Tabelle1!$A$2:$I$496,8,0))/$W$4))</f>
        <v/>
      </c>
      <c r="P111" s="76" t="str">
        <f>IF(K111="","",VLOOKUP(F111,Tabelle1!$A$2:$L$496,12,0))</f>
        <v/>
      </c>
    </row>
    <row r="112" spans="1:16">
      <c r="A112" s="67"/>
      <c r="B112" s="55"/>
      <c r="C112" s="55"/>
      <c r="D112" s="57" t="str">
        <f>IF(K112="","",VLOOKUP(F112,Tabelle1!$A$2:$C$496,3,0))</f>
        <v/>
      </c>
      <c r="E112" s="57" t="str">
        <f>IF(K112="","",VLOOKUP(F112,Tabelle1!$A$2:$M$496,13,0))</f>
        <v/>
      </c>
      <c r="F112" s="56"/>
      <c r="G112" s="57"/>
      <c r="H112" s="57"/>
      <c r="I112" s="57"/>
      <c r="J112" s="57"/>
      <c r="K112" s="57"/>
      <c r="L112" s="118" t="str">
        <f>IF(K112="","",VLOOKUP(F112,Tabelle1!$A$2:$I$496,9,0))</f>
        <v/>
      </c>
      <c r="M112" s="57" t="str">
        <f>IF(K112="","",VLOOKUP(F112,Tabelle1!$A$2:$G$496,7,0))</f>
        <v/>
      </c>
      <c r="N112" s="66" t="str">
        <f t="shared" si="4"/>
        <v/>
      </c>
      <c r="O112" s="66" t="str">
        <f>IF(K112="","",((K112*VLOOKUP(F112,Tabelle1!$A$2:$I$496,8,0))/$W$4))</f>
        <v/>
      </c>
      <c r="P112" s="76" t="str">
        <f>IF(K112="","",VLOOKUP(F112,Tabelle1!$A$2:$L$496,12,0))</f>
        <v/>
      </c>
    </row>
    <row r="113" spans="1:16">
      <c r="A113" s="67"/>
      <c r="B113" s="55"/>
      <c r="C113" s="55"/>
      <c r="D113" s="57" t="str">
        <f>IF(K113="","",VLOOKUP(F113,Tabelle1!$A$2:$C$496,3,0))</f>
        <v/>
      </c>
      <c r="E113" s="57" t="str">
        <f>IF(K113="","",VLOOKUP(F113,Tabelle1!$A$2:$M$496,13,0))</f>
        <v/>
      </c>
      <c r="F113" s="56"/>
      <c r="G113" s="57"/>
      <c r="H113" s="57"/>
      <c r="I113" s="57"/>
      <c r="J113" s="57"/>
      <c r="K113" s="57"/>
      <c r="L113" s="118" t="str">
        <f>IF(K113="","",VLOOKUP(F113,Tabelle1!$A$2:$I$496,9,0))</f>
        <v/>
      </c>
      <c r="M113" s="57" t="str">
        <f>IF(K113="","",VLOOKUP(F113,Tabelle1!$A$2:$G$496,7,0))</f>
        <v/>
      </c>
      <c r="N113" s="66" t="str">
        <f t="shared" si="4"/>
        <v/>
      </c>
      <c r="O113" s="66" t="str">
        <f>IF(K113="","",((K113*VLOOKUP(F113,Tabelle1!$A$2:$I$496,8,0))/$W$4))</f>
        <v/>
      </c>
      <c r="P113" s="76" t="str">
        <f>IF(K113="","",VLOOKUP(F113,Tabelle1!$A$2:$L$496,12,0))</f>
        <v/>
      </c>
    </row>
    <row r="114" spans="1:16">
      <c r="A114" s="67"/>
      <c r="B114" s="55"/>
      <c r="C114" s="55"/>
      <c r="D114" s="57" t="str">
        <f>IF(K114="","",VLOOKUP(F114,Tabelle1!$A$2:$C$496,3,0))</f>
        <v/>
      </c>
      <c r="E114" s="57" t="str">
        <f>IF(K114="","",VLOOKUP(F114,Tabelle1!$A$2:$M$496,13,0))</f>
        <v/>
      </c>
      <c r="F114" s="56"/>
      <c r="G114" s="57"/>
      <c r="H114" s="57"/>
      <c r="I114" s="57"/>
      <c r="J114" s="57"/>
      <c r="K114" s="57"/>
      <c r="L114" s="118" t="str">
        <f>IF(K114="","",VLOOKUP(F114,Tabelle1!$A$2:$I$496,9,0))</f>
        <v/>
      </c>
      <c r="M114" s="57" t="str">
        <f>IF(K114="","",VLOOKUP(F114,Tabelle1!$A$2:$G$496,7,0))</f>
        <v/>
      </c>
      <c r="N114" s="66" t="str">
        <f t="shared" si="4"/>
        <v/>
      </c>
      <c r="O114" s="66" t="str">
        <f>IF(K114="","",((K114*VLOOKUP(F114,Tabelle1!$A$2:$I$496,8,0))/$W$4))</f>
        <v/>
      </c>
      <c r="P114" s="76" t="str">
        <f>IF(K114="","",VLOOKUP(F114,Tabelle1!$A$2:$L$496,12,0))</f>
        <v/>
      </c>
    </row>
    <row r="115" spans="1:16">
      <c r="A115" s="67"/>
      <c r="B115" s="55"/>
      <c r="C115" s="55"/>
      <c r="D115" s="57" t="str">
        <f>IF(K115="","",VLOOKUP(F115,Tabelle1!$A$2:$C$496,3,0))</f>
        <v/>
      </c>
      <c r="E115" s="57" t="str">
        <f>IF(K115="","",VLOOKUP(F115,Tabelle1!$A$2:$M$496,13,0))</f>
        <v/>
      </c>
      <c r="F115" s="56"/>
      <c r="G115" s="57"/>
      <c r="H115" s="57"/>
      <c r="I115" s="57"/>
      <c r="J115" s="57"/>
      <c r="K115" s="57"/>
      <c r="L115" s="118" t="str">
        <f>IF(K115="","",VLOOKUP(F115,Tabelle1!$A$2:$I$496,9,0))</f>
        <v/>
      </c>
      <c r="M115" s="57" t="str">
        <f>IF(K115="","",VLOOKUP(F115,Tabelle1!$A$2:$G$496,7,0))</f>
        <v/>
      </c>
      <c r="N115" s="66" t="str">
        <f t="shared" si="4"/>
        <v/>
      </c>
      <c r="O115" s="66" t="str">
        <f>IF(K115="","",((K115*VLOOKUP(F115,Tabelle1!$A$2:$I$496,8,0))/$W$4))</f>
        <v/>
      </c>
      <c r="P115" s="76" t="str">
        <f>IF(K115="","",VLOOKUP(F115,Tabelle1!$A$2:$L$496,12,0))</f>
        <v/>
      </c>
    </row>
    <row r="116" spans="1:16">
      <c r="A116" s="67"/>
      <c r="B116" s="55"/>
      <c r="C116" s="55"/>
      <c r="D116" s="57" t="str">
        <f>IF(K116="","",VLOOKUP(F116,Tabelle1!$A$2:$C$496,3,0))</f>
        <v/>
      </c>
      <c r="E116" s="57" t="str">
        <f>IF(K116="","",VLOOKUP(F116,Tabelle1!$A$2:$M$496,13,0))</f>
        <v/>
      </c>
      <c r="F116" s="56"/>
      <c r="G116" s="57"/>
      <c r="H116" s="57"/>
      <c r="I116" s="57"/>
      <c r="J116" s="57"/>
      <c r="K116" s="57"/>
      <c r="L116" s="118" t="str">
        <f>IF(K116="","",VLOOKUP(F116,Tabelle1!$A$2:$I$496,9,0))</f>
        <v/>
      </c>
      <c r="M116" s="57" t="str">
        <f>IF(K116="","",VLOOKUP(F116,Tabelle1!$A$2:$G$496,7,0))</f>
        <v/>
      </c>
      <c r="N116" s="66" t="str">
        <f t="shared" si="4"/>
        <v/>
      </c>
      <c r="O116" s="66" t="str">
        <f>IF(K116="","",((K116*VLOOKUP(F116,Tabelle1!$A$2:$I$496,8,0))/$W$4))</f>
        <v/>
      </c>
      <c r="P116" s="76" t="str">
        <f>IF(K116="","",VLOOKUP(F116,Tabelle1!$A$2:$L$496,12,0))</f>
        <v/>
      </c>
    </row>
    <row r="117" spans="1:16">
      <c r="A117" s="67"/>
      <c r="B117" s="55"/>
      <c r="C117" s="55"/>
      <c r="D117" s="57" t="str">
        <f>IF(K117="","",VLOOKUP(F117,Tabelle1!$A$2:$C$496,3,0))</f>
        <v/>
      </c>
      <c r="E117" s="57" t="str">
        <f>IF(K117="","",VLOOKUP(F117,Tabelle1!$A$2:$M$496,13,0))</f>
        <v/>
      </c>
      <c r="F117" s="56"/>
      <c r="G117" s="57"/>
      <c r="H117" s="57"/>
      <c r="I117" s="57"/>
      <c r="J117" s="57"/>
      <c r="K117" s="57"/>
      <c r="L117" s="118" t="str">
        <f>IF(K117="","",VLOOKUP(F117,Tabelle1!$A$2:$I$496,9,0))</f>
        <v/>
      </c>
      <c r="M117" s="57" t="str">
        <f>IF(K117="","",VLOOKUP(F117,Tabelle1!$A$2:$G$496,7,0))</f>
        <v/>
      </c>
      <c r="N117" s="66" t="str">
        <f t="shared" si="4"/>
        <v/>
      </c>
      <c r="O117" s="66" t="str">
        <f>IF(K117="","",((K117*VLOOKUP(F117,Tabelle1!$A$2:$I$496,8,0))/$W$4))</f>
        <v/>
      </c>
      <c r="P117" s="76" t="str">
        <f>IF(K117="","",VLOOKUP(F117,Tabelle1!$A$2:$L$496,12,0))</f>
        <v/>
      </c>
    </row>
    <row r="118" spans="1:16">
      <c r="A118" s="67"/>
      <c r="B118" s="55"/>
      <c r="C118" s="55"/>
      <c r="D118" s="57" t="str">
        <f>IF(K118="","",VLOOKUP(F118,Tabelle1!$A$2:$C$496,3,0))</f>
        <v/>
      </c>
      <c r="E118" s="57" t="str">
        <f>IF(K118="","",VLOOKUP(F118,Tabelle1!$A$2:$M$496,13,0))</f>
        <v/>
      </c>
      <c r="F118" s="56"/>
      <c r="G118" s="57"/>
      <c r="H118" s="57"/>
      <c r="I118" s="57"/>
      <c r="J118" s="57"/>
      <c r="K118" s="57"/>
      <c r="L118" s="118" t="str">
        <f>IF(K118="","",VLOOKUP(F118,Tabelle1!$A$2:$I$496,9,0))</f>
        <v/>
      </c>
      <c r="M118" s="57" t="str">
        <f>IF(K118="","",VLOOKUP(F118,Tabelle1!$A$2:$G$496,7,0))</f>
        <v/>
      </c>
      <c r="N118" s="66" t="str">
        <f t="shared" si="4"/>
        <v/>
      </c>
      <c r="O118" s="66" t="str">
        <f>IF(K118="","",((K118*VLOOKUP(F118,Tabelle1!$A$2:$I$496,8,0))/$W$4))</f>
        <v/>
      </c>
      <c r="P118" s="76" t="str">
        <f>IF(K118="","",VLOOKUP(F118,Tabelle1!$A$2:$L$496,12,0))</f>
        <v/>
      </c>
    </row>
    <row r="119" spans="1:16">
      <c r="A119" s="67"/>
      <c r="B119" s="55"/>
      <c r="C119" s="55"/>
      <c r="D119" s="57" t="str">
        <f>IF(K119="","",VLOOKUP(F119,Tabelle1!$A$2:$C$496,3,0))</f>
        <v/>
      </c>
      <c r="E119" s="57" t="str">
        <f>IF(K119="","",VLOOKUP(F119,Tabelle1!$A$2:$M$496,13,0))</f>
        <v/>
      </c>
      <c r="F119" s="56"/>
      <c r="G119" s="57"/>
      <c r="H119" s="57"/>
      <c r="I119" s="57"/>
      <c r="J119" s="57"/>
      <c r="K119" s="57"/>
      <c r="L119" s="118" t="str">
        <f>IF(K119="","",VLOOKUP(F119,Tabelle1!$A$2:$I$496,9,0))</f>
        <v/>
      </c>
      <c r="M119" s="57" t="str">
        <f>IF(K119="","",VLOOKUP(F119,Tabelle1!$A$2:$G$496,7,0))</f>
        <v/>
      </c>
      <c r="N119" s="66" t="str">
        <f t="shared" si="4"/>
        <v/>
      </c>
      <c r="O119" s="66" t="str">
        <f>IF(K119="","",((K119*VLOOKUP(F119,Tabelle1!$A$2:$I$496,8,0))/$W$4))</f>
        <v/>
      </c>
      <c r="P119" s="76" t="str">
        <f>IF(K119="","",VLOOKUP(F119,Tabelle1!$A$2:$L$496,12,0))</f>
        <v/>
      </c>
    </row>
    <row r="120" spans="1:16">
      <c r="A120" s="67"/>
      <c r="B120" s="55"/>
      <c r="C120" s="55"/>
      <c r="D120" s="57" t="str">
        <f>IF(K120="","",VLOOKUP(F120,Tabelle1!$A$2:$C$496,3,0))</f>
        <v/>
      </c>
      <c r="E120" s="57" t="str">
        <f>IF(K120="","",VLOOKUP(F120,Tabelle1!$A$2:$M$496,13,0))</f>
        <v/>
      </c>
      <c r="F120" s="56"/>
      <c r="G120" s="57"/>
      <c r="H120" s="57"/>
      <c r="I120" s="57"/>
      <c r="J120" s="57"/>
      <c r="K120" s="57"/>
      <c r="L120" s="118" t="str">
        <f>IF(K120="","",VLOOKUP(F120,Tabelle1!$A$2:$I$496,9,0))</f>
        <v/>
      </c>
      <c r="M120" s="57" t="str">
        <f>IF(K120="","",VLOOKUP(F120,Tabelle1!$A$2:$G$496,7,0))</f>
        <v/>
      </c>
      <c r="N120" s="66" t="str">
        <f t="shared" si="4"/>
        <v/>
      </c>
      <c r="O120" s="66" t="str">
        <f>IF(K120="","",((K120*VLOOKUP(F120,Tabelle1!$A$2:$I$496,8,0))/$W$4))</f>
        <v/>
      </c>
      <c r="P120" s="76" t="str">
        <f>IF(K120="","",VLOOKUP(F120,Tabelle1!$A$2:$L$496,12,0))</f>
        <v/>
      </c>
    </row>
    <row r="121" spans="1:16">
      <c r="A121" s="67"/>
      <c r="B121" s="55"/>
      <c r="C121" s="55"/>
      <c r="D121" s="57" t="str">
        <f>IF(K121="","",VLOOKUP(F121,Tabelle1!$A$2:$C$496,3,0))</f>
        <v/>
      </c>
      <c r="E121" s="57" t="str">
        <f>IF(K121="","",VLOOKUP(F121,Tabelle1!$A$2:$M$496,13,0))</f>
        <v/>
      </c>
      <c r="F121" s="56"/>
      <c r="G121" s="57"/>
      <c r="H121" s="57"/>
      <c r="I121" s="57"/>
      <c r="J121" s="57"/>
      <c r="K121" s="57"/>
      <c r="L121" s="118" t="str">
        <f>IF(K121="","",VLOOKUP(F121,Tabelle1!$A$2:$I$496,9,0))</f>
        <v/>
      </c>
      <c r="M121" s="57" t="str">
        <f>IF(K121="","",VLOOKUP(F121,Tabelle1!$A$2:$G$496,7,0))</f>
        <v/>
      </c>
      <c r="N121" s="66" t="str">
        <f t="shared" si="4"/>
        <v/>
      </c>
      <c r="O121" s="66" t="str">
        <f>IF(K121="","",((K121*VLOOKUP(F121,Tabelle1!$A$2:$I$496,8,0))/$W$4))</f>
        <v/>
      </c>
      <c r="P121" s="76" t="str">
        <f>IF(K121="","",VLOOKUP(F121,Tabelle1!$A$2:$L$496,12,0))</f>
        <v/>
      </c>
    </row>
    <row r="122" spans="1:16">
      <c r="A122" s="67"/>
      <c r="B122" s="55"/>
      <c r="C122" s="55"/>
      <c r="D122" s="57" t="str">
        <f>IF(K122="","",VLOOKUP(F122,Tabelle1!$A$2:$C$496,3,0))</f>
        <v/>
      </c>
      <c r="E122" s="57" t="str">
        <f>IF(K122="","",VLOOKUP(F122,Tabelle1!$A$2:$M$496,13,0))</f>
        <v/>
      </c>
      <c r="F122" s="56"/>
      <c r="G122" s="57"/>
      <c r="H122" s="57"/>
      <c r="I122" s="57"/>
      <c r="J122" s="57"/>
      <c r="K122" s="57"/>
      <c r="L122" s="118" t="str">
        <f>IF(K122="","",VLOOKUP(F122,Tabelle1!$A$2:$I$496,9,0))</f>
        <v/>
      </c>
      <c r="M122" s="57" t="str">
        <f>IF(K122="","",VLOOKUP(F122,Tabelle1!$A$2:$G$496,7,0))</f>
        <v/>
      </c>
      <c r="N122" s="66" t="str">
        <f t="shared" si="4"/>
        <v/>
      </c>
      <c r="O122" s="66" t="str">
        <f>IF(K122="","",((K122*VLOOKUP(F122,Tabelle1!$A$2:$I$496,8,0))/$W$4))</f>
        <v/>
      </c>
      <c r="P122" s="76" t="str">
        <f>IF(K122="","",VLOOKUP(F122,Tabelle1!$A$2:$L$496,12,0))</f>
        <v/>
      </c>
    </row>
    <row r="123" spans="1:16">
      <c r="A123" s="67"/>
      <c r="B123" s="55"/>
      <c r="C123" s="55"/>
      <c r="D123" s="57" t="str">
        <f>IF(K123="","",VLOOKUP(F123,Tabelle1!$A$2:$C$496,3,0))</f>
        <v/>
      </c>
      <c r="E123" s="57" t="str">
        <f>IF(K123="","",VLOOKUP(F123,Tabelle1!$A$2:$M$496,13,0))</f>
        <v/>
      </c>
      <c r="F123" s="56"/>
      <c r="G123" s="57"/>
      <c r="H123" s="57"/>
      <c r="I123" s="57"/>
      <c r="J123" s="57"/>
      <c r="K123" s="57"/>
      <c r="L123" s="118" t="str">
        <f>IF(K123="","",VLOOKUP(F123,Tabelle1!$A$2:$I$496,9,0))</f>
        <v/>
      </c>
      <c r="M123" s="57" t="str">
        <f>IF(K123="","",VLOOKUP(F123,Tabelle1!$A$2:$G$496,7,0))</f>
        <v/>
      </c>
      <c r="N123" s="66" t="str">
        <f t="shared" si="4"/>
        <v/>
      </c>
      <c r="O123" s="66" t="str">
        <f>IF(K123="","",((K123*VLOOKUP(F123,Tabelle1!$A$2:$I$496,8,0))/$W$4))</f>
        <v/>
      </c>
      <c r="P123" s="76" t="str">
        <f>IF(K123="","",VLOOKUP(F123,Tabelle1!$A$2:$L$496,12,0))</f>
        <v/>
      </c>
    </row>
    <row r="124" spans="1:16">
      <c r="A124" s="67"/>
      <c r="B124" s="55"/>
      <c r="C124" s="55"/>
      <c r="D124" s="57" t="str">
        <f>IF(K124="","",VLOOKUP(F124,Tabelle1!$A$2:$C$496,3,0))</f>
        <v/>
      </c>
      <c r="E124" s="57" t="str">
        <f>IF(K124="","",VLOOKUP(F124,Tabelle1!$A$2:$M$496,13,0))</f>
        <v/>
      </c>
      <c r="F124" s="56"/>
      <c r="G124" s="57"/>
      <c r="H124" s="57"/>
      <c r="I124" s="57"/>
      <c r="J124" s="57"/>
      <c r="K124" s="57"/>
      <c r="L124" s="118" t="str">
        <f>IF(K124="","",VLOOKUP(F124,Tabelle1!$A$2:$I$496,9,0))</f>
        <v/>
      </c>
      <c r="M124" s="57" t="str">
        <f>IF(K124="","",VLOOKUP(F124,Tabelle1!$A$2:$G$496,7,0))</f>
        <v/>
      </c>
      <c r="N124" s="66" t="str">
        <f t="shared" si="4"/>
        <v/>
      </c>
      <c r="O124" s="66" t="str">
        <f>IF(K124="","",((K124*VLOOKUP(F124,Tabelle1!$A$2:$I$496,8,0))/$W$4))</f>
        <v/>
      </c>
      <c r="P124" s="76" t="str">
        <f>IF(K124="","",VLOOKUP(F124,Tabelle1!$A$2:$L$496,12,0))</f>
        <v/>
      </c>
    </row>
    <row r="125" spans="1:16">
      <c r="A125" s="67"/>
      <c r="B125" s="55"/>
      <c r="C125" s="55"/>
      <c r="D125" s="57" t="str">
        <f>IF(K125="","",VLOOKUP(F125,Tabelle1!$A$2:$C$496,3,0))</f>
        <v/>
      </c>
      <c r="E125" s="57" t="str">
        <f>IF(K125="","",VLOOKUP(F125,Tabelle1!$A$2:$M$496,13,0))</f>
        <v/>
      </c>
      <c r="F125" s="56"/>
      <c r="G125" s="57"/>
      <c r="H125" s="57"/>
      <c r="I125" s="57"/>
      <c r="J125" s="57"/>
      <c r="K125" s="57"/>
      <c r="L125" s="118" t="str">
        <f>IF(K125="","",VLOOKUP(F125,Tabelle1!$A$2:$I$496,9,0))</f>
        <v/>
      </c>
      <c r="M125" s="57" t="str">
        <f>IF(K125="","",VLOOKUP(F125,Tabelle1!$A$2:$G$496,7,0))</f>
        <v/>
      </c>
      <c r="N125" s="66" t="str">
        <f t="shared" si="4"/>
        <v/>
      </c>
      <c r="O125" s="66" t="str">
        <f>IF(K125="","",((K125*VLOOKUP(F125,Tabelle1!$A$2:$I$496,8,0))/$W$4))</f>
        <v/>
      </c>
      <c r="P125" s="76" t="str">
        <f>IF(K125="","",VLOOKUP(F125,Tabelle1!$A$2:$L$496,12,0))</f>
        <v/>
      </c>
    </row>
    <row r="126" spans="1:16">
      <c r="A126" s="67"/>
      <c r="B126" s="55"/>
      <c r="C126" s="55"/>
      <c r="D126" s="57" t="str">
        <f>IF(K126="","",VLOOKUP(F126,Tabelle1!$A$2:$C$496,3,0))</f>
        <v/>
      </c>
      <c r="E126" s="57" t="str">
        <f>IF(K126="","",VLOOKUP(F126,Tabelle1!$A$2:$M$496,13,0))</f>
        <v/>
      </c>
      <c r="F126" s="56"/>
      <c r="G126" s="57"/>
      <c r="H126" s="57"/>
      <c r="I126" s="57"/>
      <c r="J126" s="57"/>
      <c r="K126" s="57"/>
      <c r="L126" s="118" t="str">
        <f>IF(K126="","",VLOOKUP(F126,Tabelle1!$A$2:$I$496,9,0))</f>
        <v/>
      </c>
      <c r="M126" s="57" t="str">
        <f>IF(K126="","",VLOOKUP(F126,Tabelle1!$A$2:$G$496,7,0))</f>
        <v/>
      </c>
      <c r="N126" s="66" t="str">
        <f t="shared" si="4"/>
        <v/>
      </c>
      <c r="O126" s="66" t="str">
        <f>IF(K126="","",((K126*VLOOKUP(F126,Tabelle1!$A$2:$I$496,8,0))/$W$4))</f>
        <v/>
      </c>
      <c r="P126" s="76" t="str">
        <f>IF(K126="","",VLOOKUP(F126,Tabelle1!$A$2:$L$496,12,0))</f>
        <v/>
      </c>
    </row>
    <row r="127" spans="1:16">
      <c r="A127" s="67"/>
      <c r="B127" s="55"/>
      <c r="C127" s="55"/>
      <c r="D127" s="57" t="str">
        <f>IF(K127="","",VLOOKUP(F127,Tabelle1!$A$2:$C$496,3,0))</f>
        <v/>
      </c>
      <c r="E127" s="57" t="str">
        <f>IF(K127="","",VLOOKUP(F127,Tabelle1!$A$2:$M$496,13,0))</f>
        <v/>
      </c>
      <c r="F127" s="56"/>
      <c r="G127" s="57"/>
      <c r="H127" s="57"/>
      <c r="I127" s="57"/>
      <c r="J127" s="57"/>
      <c r="K127" s="57"/>
      <c r="L127" s="118" t="str">
        <f>IF(K127="","",VLOOKUP(F127,Tabelle1!$A$2:$I$496,9,0))</f>
        <v/>
      </c>
      <c r="M127" s="57" t="str">
        <f>IF(K127="","",VLOOKUP(F127,Tabelle1!$A$2:$G$496,7,0))</f>
        <v/>
      </c>
      <c r="N127" s="66" t="str">
        <f t="shared" si="4"/>
        <v/>
      </c>
      <c r="O127" s="66" t="str">
        <f>IF(K127="","",((K127*VLOOKUP(F127,Tabelle1!$A$2:$I$496,8,0))/$W$4))</f>
        <v/>
      </c>
      <c r="P127" s="76" t="str">
        <f>IF(K127="","",VLOOKUP(F127,Tabelle1!$A$2:$L$496,12,0))</f>
        <v/>
      </c>
    </row>
    <row r="128" spans="1:16">
      <c r="A128" s="67"/>
      <c r="B128" s="55"/>
      <c r="C128" s="55"/>
      <c r="D128" s="57" t="str">
        <f>IF(K128="","",VLOOKUP(F128,Tabelle1!$A$2:$C$496,3,0))</f>
        <v/>
      </c>
      <c r="E128" s="57" t="str">
        <f>IF(K128="","",VLOOKUP(F128,Tabelle1!$A$2:$M$496,13,0))</f>
        <v/>
      </c>
      <c r="F128" s="56"/>
      <c r="G128" s="57"/>
      <c r="H128" s="57"/>
      <c r="I128" s="57"/>
      <c r="J128" s="57"/>
      <c r="K128" s="57"/>
      <c r="L128" s="118" t="str">
        <f>IF(K128="","",VLOOKUP(F128,Tabelle1!$A$2:$I$496,9,0))</f>
        <v/>
      </c>
      <c r="M128" s="57" t="str">
        <f>IF(K128="","",VLOOKUP(F128,Tabelle1!$A$2:$G$496,7,0))</f>
        <v/>
      </c>
      <c r="N128" s="66" t="str">
        <f t="shared" si="4"/>
        <v/>
      </c>
      <c r="O128" s="66" t="str">
        <f>IF(K128="","",((K128*VLOOKUP(F128,Tabelle1!$A$2:$I$496,8,0))/$W$4))</f>
        <v/>
      </c>
      <c r="P128" s="76" t="str">
        <f>IF(K128="","",VLOOKUP(F128,Tabelle1!$A$2:$L$496,12,0))</f>
        <v/>
      </c>
    </row>
    <row r="129" spans="1:16">
      <c r="A129" s="67"/>
      <c r="B129" s="55"/>
      <c r="C129" s="55"/>
      <c r="D129" s="57" t="str">
        <f>IF(K129="","",VLOOKUP(F129,Tabelle1!$A$2:$C$496,3,0))</f>
        <v/>
      </c>
      <c r="E129" s="57" t="str">
        <f>IF(K129="","",VLOOKUP(F129,Tabelle1!$A$2:$M$496,13,0))</f>
        <v/>
      </c>
      <c r="F129" s="56"/>
      <c r="G129" s="57"/>
      <c r="H129" s="57"/>
      <c r="I129" s="57"/>
      <c r="J129" s="57"/>
      <c r="K129" s="57"/>
      <c r="L129" s="118" t="str">
        <f>IF(K129="","",VLOOKUP(F129,Tabelle1!$A$2:$I$496,9,0))</f>
        <v/>
      </c>
      <c r="M129" s="57" t="str">
        <f>IF(K129="","",VLOOKUP(F129,Tabelle1!$A$2:$G$496,7,0))</f>
        <v/>
      </c>
      <c r="N129" s="66" t="str">
        <f t="shared" si="4"/>
        <v/>
      </c>
      <c r="O129" s="66" t="str">
        <f>IF(K129="","",((K129*VLOOKUP(F129,Tabelle1!$A$2:$I$496,8,0))/$W$4))</f>
        <v/>
      </c>
      <c r="P129" s="76" t="str">
        <f>IF(K129="","",VLOOKUP(F129,Tabelle1!$A$2:$L$496,12,0))</f>
        <v/>
      </c>
    </row>
    <row r="130" spans="1:16">
      <c r="A130" s="67"/>
      <c r="B130" s="55"/>
      <c r="C130" s="55"/>
      <c r="D130" s="57" t="str">
        <f>IF(K130="","",VLOOKUP(F130,Tabelle1!$A$2:$C$496,3,0))</f>
        <v/>
      </c>
      <c r="E130" s="57" t="str">
        <f>IF(K130="","",VLOOKUP(F130,Tabelle1!$A$2:$M$496,13,0))</f>
        <v/>
      </c>
      <c r="F130" s="56"/>
      <c r="G130" s="57"/>
      <c r="H130" s="57"/>
      <c r="I130" s="57"/>
      <c r="J130" s="57"/>
      <c r="K130" s="57"/>
      <c r="L130" s="118" t="str">
        <f>IF(K130="","",VLOOKUP(F130,Tabelle1!$A$2:$I$496,9,0))</f>
        <v/>
      </c>
      <c r="M130" s="57" t="str">
        <f>IF(K130="","",VLOOKUP(F130,Tabelle1!$A$2:$G$496,7,0))</f>
        <v/>
      </c>
      <c r="N130" s="66" t="str">
        <f t="shared" si="4"/>
        <v/>
      </c>
      <c r="O130" s="66" t="str">
        <f>IF(K130="","",((K130*VLOOKUP(F130,Tabelle1!$A$2:$I$496,8,0))/$W$4))</f>
        <v/>
      </c>
      <c r="P130" s="76" t="str">
        <f>IF(K130="","",VLOOKUP(F130,Tabelle1!$A$2:$L$496,12,0))</f>
        <v/>
      </c>
    </row>
    <row r="131" spans="1:16">
      <c r="A131" s="67"/>
      <c r="B131" s="55"/>
      <c r="C131" s="55"/>
      <c r="D131" s="57" t="str">
        <f>IF(K131="","",VLOOKUP(F131,Tabelle1!$A$2:$C$496,3,0))</f>
        <v/>
      </c>
      <c r="E131" s="57" t="str">
        <f>IF(K131="","",VLOOKUP(F131,Tabelle1!$A$2:$M$496,13,0))</f>
        <v/>
      </c>
      <c r="F131" s="56"/>
      <c r="G131" s="57"/>
      <c r="H131" s="57"/>
      <c r="I131" s="57"/>
      <c r="J131" s="57"/>
      <c r="K131" s="57"/>
      <c r="L131" s="118" t="str">
        <f>IF(K131="","",VLOOKUP(F131,Tabelle1!$A$2:$I$496,9,0))</f>
        <v/>
      </c>
      <c r="M131" s="57" t="str">
        <f>IF(K131="","",VLOOKUP(F131,Tabelle1!$A$2:$G$496,7,0))</f>
        <v/>
      </c>
      <c r="N131" s="66" t="str">
        <f t="shared" si="4"/>
        <v/>
      </c>
      <c r="O131" s="66" t="str">
        <f>IF(K131="","",((K131*VLOOKUP(F131,Tabelle1!$A$2:$I$496,8,0))/$W$4))</f>
        <v/>
      </c>
      <c r="P131" s="76" t="str">
        <f>IF(K131="","",VLOOKUP(F131,Tabelle1!$A$2:$L$496,12,0))</f>
        <v/>
      </c>
    </row>
    <row r="132" spans="1:16">
      <c r="A132" s="67"/>
      <c r="B132" s="55"/>
      <c r="C132" s="55"/>
      <c r="D132" s="57" t="str">
        <f>IF(K132="","",VLOOKUP(F132,Tabelle1!$A$2:$C$496,3,0))</f>
        <v/>
      </c>
      <c r="E132" s="57" t="str">
        <f>IF(K132="","",VLOOKUP(F132,Tabelle1!$A$2:$M$496,13,0))</f>
        <v/>
      </c>
      <c r="F132" s="56"/>
      <c r="G132" s="57"/>
      <c r="H132" s="57"/>
      <c r="I132" s="57"/>
      <c r="J132" s="57"/>
      <c r="K132" s="57"/>
      <c r="L132" s="118" t="str">
        <f>IF(K132="","",VLOOKUP(F132,Tabelle1!$A$2:$I$496,9,0))</f>
        <v/>
      </c>
      <c r="M132" s="57" t="str">
        <f>IF(K132="","",VLOOKUP(F132,Tabelle1!$A$2:$G$496,7,0))</f>
        <v/>
      </c>
      <c r="N132" s="66" t="str">
        <f t="shared" si="4"/>
        <v/>
      </c>
      <c r="O132" s="66" t="str">
        <f>IF(K132="","",((K132*VLOOKUP(F132,Tabelle1!$A$2:$I$496,8,0))/$W$4))</f>
        <v/>
      </c>
      <c r="P132" s="76" t="str">
        <f>IF(K132="","",VLOOKUP(F132,Tabelle1!$A$2:$L$496,12,0))</f>
        <v/>
      </c>
    </row>
    <row r="133" spans="1:16">
      <c r="A133" s="67"/>
      <c r="B133" s="55"/>
      <c r="C133" s="55"/>
      <c r="D133" s="57" t="str">
        <f>IF(K133="","",VLOOKUP(F133,Tabelle1!$A$2:$C$496,3,0))</f>
        <v/>
      </c>
      <c r="E133" s="57" t="str">
        <f>IF(K133="","",VLOOKUP(F133,Tabelle1!$A$2:$M$496,13,0))</f>
        <v/>
      </c>
      <c r="F133" s="56"/>
      <c r="G133" s="57"/>
      <c r="H133" s="57"/>
      <c r="I133" s="57"/>
      <c r="J133" s="57"/>
      <c r="K133" s="57"/>
      <c r="L133" s="118" t="str">
        <f>IF(K133="","",VLOOKUP(F133,Tabelle1!$A$2:$I$496,9,0))</f>
        <v/>
      </c>
      <c r="M133" s="57" t="str">
        <f>IF(K133="","",VLOOKUP(F133,Tabelle1!$A$2:$G$496,7,0))</f>
        <v/>
      </c>
      <c r="N133" s="66" t="str">
        <f t="shared" ref="N133:N196" si="5">IF(M133&gt;0,O133,"")</f>
        <v/>
      </c>
      <c r="O133" s="66" t="str">
        <f>IF(K133="","",((K133*VLOOKUP(F133,Tabelle1!$A$2:$I$496,8,0))/$W$4))</f>
        <v/>
      </c>
      <c r="P133" s="76" t="str">
        <f>IF(K133="","",VLOOKUP(F133,Tabelle1!$A$2:$L$496,12,0))</f>
        <v/>
      </c>
    </row>
    <row r="134" spans="1:16">
      <c r="A134" s="67"/>
      <c r="B134" s="55"/>
      <c r="C134" s="55"/>
      <c r="D134" s="57" t="str">
        <f>IF(K134="","",VLOOKUP(F134,Tabelle1!$A$2:$C$496,3,0))</f>
        <v/>
      </c>
      <c r="E134" s="57" t="str">
        <f>IF(K134="","",VLOOKUP(F134,Tabelle1!$A$2:$M$496,13,0))</f>
        <v/>
      </c>
      <c r="F134" s="56"/>
      <c r="G134" s="57"/>
      <c r="H134" s="57"/>
      <c r="I134" s="57"/>
      <c r="J134" s="57"/>
      <c r="K134" s="57"/>
      <c r="L134" s="118" t="str">
        <f>IF(K134="","",VLOOKUP(F134,Tabelle1!$A$2:$I$496,9,0))</f>
        <v/>
      </c>
      <c r="M134" s="57" t="str">
        <f>IF(K134="","",VLOOKUP(F134,Tabelle1!$A$2:$G$496,7,0))</f>
        <v/>
      </c>
      <c r="N134" s="66" t="str">
        <f t="shared" si="5"/>
        <v/>
      </c>
      <c r="O134" s="66" t="str">
        <f>IF(K134="","",((K134*VLOOKUP(F134,Tabelle1!$A$2:$I$496,8,0))/$W$4))</f>
        <v/>
      </c>
      <c r="P134" s="76" t="str">
        <f>IF(K134="","",VLOOKUP(F134,Tabelle1!$A$2:$L$496,12,0))</f>
        <v/>
      </c>
    </row>
    <row r="135" spans="1:16">
      <c r="A135" s="67"/>
      <c r="B135" s="55"/>
      <c r="C135" s="55"/>
      <c r="D135" s="57" t="str">
        <f>IF(K135="","",VLOOKUP(F135,Tabelle1!$A$2:$C$496,3,0))</f>
        <v/>
      </c>
      <c r="E135" s="57" t="str">
        <f>IF(K135="","",VLOOKUP(F135,Tabelle1!$A$2:$M$496,13,0))</f>
        <v/>
      </c>
      <c r="F135" s="56"/>
      <c r="G135" s="57"/>
      <c r="H135" s="57"/>
      <c r="I135" s="57"/>
      <c r="J135" s="57"/>
      <c r="K135" s="57"/>
      <c r="L135" s="118" t="str">
        <f>IF(K135="","",VLOOKUP(F135,Tabelle1!$A$2:$I$496,9,0))</f>
        <v/>
      </c>
      <c r="M135" s="57" t="str">
        <f>IF(K135="","",VLOOKUP(F135,Tabelle1!$A$2:$G$496,7,0))</f>
        <v/>
      </c>
      <c r="N135" s="66" t="str">
        <f t="shared" si="5"/>
        <v/>
      </c>
      <c r="O135" s="66" t="str">
        <f>IF(K135="","",((K135*VLOOKUP(F135,Tabelle1!$A$2:$I$496,8,0))/$W$4))</f>
        <v/>
      </c>
      <c r="P135" s="76" t="str">
        <f>IF(K135="","",VLOOKUP(F135,Tabelle1!$A$2:$L$496,12,0))</f>
        <v/>
      </c>
    </row>
    <row r="136" spans="1:16">
      <c r="A136" s="67"/>
      <c r="B136" s="55"/>
      <c r="C136" s="55"/>
      <c r="D136" s="57" t="str">
        <f>IF(K136="","",VLOOKUP(F136,Tabelle1!$A$2:$C$496,3,0))</f>
        <v/>
      </c>
      <c r="E136" s="57" t="str">
        <f>IF(K136="","",VLOOKUP(F136,Tabelle1!$A$2:$M$496,13,0))</f>
        <v/>
      </c>
      <c r="F136" s="56"/>
      <c r="G136" s="57"/>
      <c r="H136" s="57"/>
      <c r="I136" s="57"/>
      <c r="J136" s="57"/>
      <c r="K136" s="57"/>
      <c r="L136" s="118" t="str">
        <f>IF(K136="","",VLOOKUP(F136,Tabelle1!$A$2:$I$496,9,0))</f>
        <v/>
      </c>
      <c r="M136" s="57" t="str">
        <f>IF(K136="","",VLOOKUP(F136,Tabelle1!$A$2:$G$496,7,0))</f>
        <v/>
      </c>
      <c r="N136" s="66" t="str">
        <f t="shared" si="5"/>
        <v/>
      </c>
      <c r="O136" s="66" t="str">
        <f>IF(K136="","",((K136*VLOOKUP(F136,Tabelle1!$A$2:$I$496,8,0))/$W$4))</f>
        <v/>
      </c>
      <c r="P136" s="76" t="str">
        <f>IF(K136="","",VLOOKUP(F136,Tabelle1!$A$2:$L$496,12,0))</f>
        <v/>
      </c>
    </row>
    <row r="137" spans="1:16">
      <c r="A137" s="67"/>
      <c r="B137" s="55"/>
      <c r="C137" s="55"/>
      <c r="D137" s="57" t="str">
        <f>IF(K137="","",VLOOKUP(F137,Tabelle1!$A$2:$C$496,3,0))</f>
        <v/>
      </c>
      <c r="E137" s="57" t="str">
        <f>IF(K137="","",VLOOKUP(F137,Tabelle1!$A$2:$M$496,13,0))</f>
        <v/>
      </c>
      <c r="F137" s="56"/>
      <c r="G137" s="57"/>
      <c r="H137" s="57"/>
      <c r="I137" s="57"/>
      <c r="J137" s="57"/>
      <c r="K137" s="57"/>
      <c r="L137" s="118" t="str">
        <f>IF(K137="","",VLOOKUP(F137,Tabelle1!$A$2:$I$496,9,0))</f>
        <v/>
      </c>
      <c r="M137" s="57" t="str">
        <f>IF(K137="","",VLOOKUP(F137,Tabelle1!$A$2:$G$496,7,0))</f>
        <v/>
      </c>
      <c r="N137" s="66" t="str">
        <f t="shared" si="5"/>
        <v/>
      </c>
      <c r="O137" s="66" t="str">
        <f>IF(K137="","",((K137*VLOOKUP(F137,Tabelle1!$A$2:$I$496,8,0))/$W$4))</f>
        <v/>
      </c>
      <c r="P137" s="76" t="str">
        <f>IF(K137="","",VLOOKUP(F137,Tabelle1!$A$2:$L$496,12,0))</f>
        <v/>
      </c>
    </row>
    <row r="138" spans="1:16">
      <c r="A138" s="67"/>
      <c r="B138" s="55"/>
      <c r="C138" s="55"/>
      <c r="D138" s="57" t="str">
        <f>IF(K138="","",VLOOKUP(F138,Tabelle1!$A$2:$C$496,3,0))</f>
        <v/>
      </c>
      <c r="E138" s="57" t="str">
        <f>IF(K138="","",VLOOKUP(F138,Tabelle1!$A$2:$M$496,13,0))</f>
        <v/>
      </c>
      <c r="F138" s="56"/>
      <c r="G138" s="57"/>
      <c r="H138" s="57"/>
      <c r="I138" s="57"/>
      <c r="J138" s="57"/>
      <c r="K138" s="57"/>
      <c r="L138" s="118" t="str">
        <f>IF(K138="","",VLOOKUP(F138,Tabelle1!$A$2:$I$496,9,0))</f>
        <v/>
      </c>
      <c r="M138" s="57" t="str">
        <f>IF(K138="","",VLOOKUP(F138,Tabelle1!$A$2:$G$496,7,0))</f>
        <v/>
      </c>
      <c r="N138" s="66" t="str">
        <f t="shared" si="5"/>
        <v/>
      </c>
      <c r="O138" s="66" t="str">
        <f>IF(K138="","",((K138*VLOOKUP(F138,Tabelle1!$A$2:$I$496,8,0))/$W$4))</f>
        <v/>
      </c>
      <c r="P138" s="76" t="str">
        <f>IF(K138="","",VLOOKUP(F138,Tabelle1!$A$2:$L$496,12,0))</f>
        <v/>
      </c>
    </row>
    <row r="139" spans="1:16">
      <c r="A139" s="67"/>
      <c r="B139" s="55"/>
      <c r="C139" s="55"/>
      <c r="D139" s="57" t="str">
        <f>IF(K139="","",VLOOKUP(F139,Tabelle1!$A$2:$C$496,3,0))</f>
        <v/>
      </c>
      <c r="E139" s="57" t="str">
        <f>IF(K139="","",VLOOKUP(F139,Tabelle1!$A$2:$M$496,13,0))</f>
        <v/>
      </c>
      <c r="F139" s="56"/>
      <c r="G139" s="57"/>
      <c r="H139" s="57"/>
      <c r="I139" s="57"/>
      <c r="J139" s="57"/>
      <c r="K139" s="57"/>
      <c r="L139" s="118" t="str">
        <f>IF(K139="","",VLOOKUP(F139,Tabelle1!$A$2:$I$496,9,0))</f>
        <v/>
      </c>
      <c r="M139" s="57" t="str">
        <f>IF(K139="","",VLOOKUP(F139,Tabelle1!$A$2:$G$496,7,0))</f>
        <v/>
      </c>
      <c r="N139" s="66" t="str">
        <f t="shared" si="5"/>
        <v/>
      </c>
      <c r="O139" s="66" t="str">
        <f>IF(K139="","",((K139*VLOOKUP(F139,Tabelle1!$A$2:$I$496,8,0))/$W$4))</f>
        <v/>
      </c>
      <c r="P139" s="76" t="str">
        <f>IF(K139="","",VLOOKUP(F139,Tabelle1!$A$2:$L$496,12,0))</f>
        <v/>
      </c>
    </row>
    <row r="140" spans="1:16">
      <c r="A140" s="67"/>
      <c r="B140" s="55"/>
      <c r="C140" s="55"/>
      <c r="D140" s="57" t="str">
        <f>IF(K140="","",VLOOKUP(F140,Tabelle1!$A$2:$C$496,3,0))</f>
        <v/>
      </c>
      <c r="E140" s="57" t="str">
        <f>IF(K140="","",VLOOKUP(F140,Tabelle1!$A$2:$M$496,13,0))</f>
        <v/>
      </c>
      <c r="F140" s="56"/>
      <c r="G140" s="57"/>
      <c r="H140" s="57"/>
      <c r="I140" s="57"/>
      <c r="J140" s="57"/>
      <c r="K140" s="57"/>
      <c r="L140" s="118" t="str">
        <f>IF(K140="","",VLOOKUP(F140,Tabelle1!$A$2:$I$496,9,0))</f>
        <v/>
      </c>
      <c r="M140" s="57" t="str">
        <f>IF(K140="","",VLOOKUP(F140,Tabelle1!$A$2:$G$496,7,0))</f>
        <v/>
      </c>
      <c r="N140" s="66" t="str">
        <f t="shared" si="5"/>
        <v/>
      </c>
      <c r="O140" s="66" t="str">
        <f>IF(K140="","",((K140*VLOOKUP(F140,Tabelle1!$A$2:$I$496,8,0))/$W$4))</f>
        <v/>
      </c>
      <c r="P140" s="76" t="str">
        <f>IF(K140="","",VLOOKUP(F140,Tabelle1!$A$2:$L$496,12,0))</f>
        <v/>
      </c>
    </row>
    <row r="141" spans="1:16">
      <c r="A141" s="67"/>
      <c r="B141" s="55"/>
      <c r="C141" s="55"/>
      <c r="D141" s="57" t="str">
        <f>IF(K141="","",VLOOKUP(F141,Tabelle1!$A$2:$C$496,3,0))</f>
        <v/>
      </c>
      <c r="E141" s="57" t="str">
        <f>IF(K141="","",VLOOKUP(F141,Tabelle1!$A$2:$M$496,13,0))</f>
        <v/>
      </c>
      <c r="F141" s="56"/>
      <c r="G141" s="57"/>
      <c r="H141" s="57"/>
      <c r="I141" s="57"/>
      <c r="J141" s="57"/>
      <c r="K141" s="57"/>
      <c r="L141" s="118" t="str">
        <f>IF(K141="","",VLOOKUP(F141,Tabelle1!$A$2:$I$496,9,0))</f>
        <v/>
      </c>
      <c r="M141" s="57" t="str">
        <f>IF(K141="","",VLOOKUP(F141,Tabelle1!$A$2:$G$496,7,0))</f>
        <v/>
      </c>
      <c r="N141" s="66" t="str">
        <f t="shared" si="5"/>
        <v/>
      </c>
      <c r="O141" s="66" t="str">
        <f>IF(K141="","",((K141*VLOOKUP(F141,Tabelle1!$A$2:$I$496,8,0))/$W$4))</f>
        <v/>
      </c>
      <c r="P141" s="76" t="str">
        <f>IF(K141="","",VLOOKUP(F141,Tabelle1!$A$2:$L$496,12,0))</f>
        <v/>
      </c>
    </row>
    <row r="142" spans="1:16">
      <c r="A142" s="67"/>
      <c r="B142" s="55"/>
      <c r="C142" s="55"/>
      <c r="D142" s="57" t="str">
        <f>IF(K142="","",VLOOKUP(F142,Tabelle1!$A$2:$C$496,3,0))</f>
        <v/>
      </c>
      <c r="E142" s="57" t="str">
        <f>IF(K142="","",VLOOKUP(F142,Tabelle1!$A$2:$M$496,13,0))</f>
        <v/>
      </c>
      <c r="F142" s="56"/>
      <c r="G142" s="57"/>
      <c r="H142" s="57"/>
      <c r="I142" s="57"/>
      <c r="J142" s="57"/>
      <c r="K142" s="57"/>
      <c r="L142" s="118" t="str">
        <f>IF(K142="","",VLOOKUP(F142,Tabelle1!$A$2:$I$496,9,0))</f>
        <v/>
      </c>
      <c r="M142" s="57" t="str">
        <f>IF(K142="","",VLOOKUP(F142,Tabelle1!$A$2:$G$496,7,0))</f>
        <v/>
      </c>
      <c r="N142" s="66" t="str">
        <f t="shared" si="5"/>
        <v/>
      </c>
      <c r="O142" s="66" t="str">
        <f>IF(K142="","",((K142*VLOOKUP(F142,Tabelle1!$A$2:$I$496,8,0))/$W$4))</f>
        <v/>
      </c>
      <c r="P142" s="76" t="str">
        <f>IF(K142="","",VLOOKUP(F142,Tabelle1!$A$2:$L$496,12,0))</f>
        <v/>
      </c>
    </row>
    <row r="143" spans="1:16">
      <c r="A143" s="67"/>
      <c r="B143" s="55"/>
      <c r="C143" s="55"/>
      <c r="D143" s="57" t="str">
        <f>IF(K143="","",VLOOKUP(F143,Tabelle1!$A$2:$C$496,3,0))</f>
        <v/>
      </c>
      <c r="E143" s="57" t="str">
        <f>IF(K143="","",VLOOKUP(F143,Tabelle1!$A$2:$M$496,13,0))</f>
        <v/>
      </c>
      <c r="F143" s="56"/>
      <c r="G143" s="57"/>
      <c r="H143" s="57"/>
      <c r="I143" s="57"/>
      <c r="J143" s="57"/>
      <c r="K143" s="57"/>
      <c r="L143" s="118" t="str">
        <f>IF(K143="","",VLOOKUP(F143,Tabelle1!$A$2:$I$496,9,0))</f>
        <v/>
      </c>
      <c r="M143" s="57" t="str">
        <f>IF(K143="","",VLOOKUP(F143,Tabelle1!$A$2:$G$496,7,0))</f>
        <v/>
      </c>
      <c r="N143" s="66" t="str">
        <f t="shared" si="5"/>
        <v/>
      </c>
      <c r="O143" s="66" t="str">
        <f>IF(K143="","",((K143*VLOOKUP(F143,Tabelle1!$A$2:$I$496,8,0))/$W$4))</f>
        <v/>
      </c>
      <c r="P143" s="76" t="str">
        <f>IF(K143="","",VLOOKUP(F143,Tabelle1!$A$2:$L$496,12,0))</f>
        <v/>
      </c>
    </row>
    <row r="144" spans="1:16">
      <c r="A144" s="67"/>
      <c r="B144" s="55"/>
      <c r="C144" s="55"/>
      <c r="D144" s="57" t="str">
        <f>IF(K144="","",VLOOKUP(F144,Tabelle1!$A$2:$C$496,3,0))</f>
        <v/>
      </c>
      <c r="E144" s="57" t="str">
        <f>IF(K144="","",VLOOKUP(F144,Tabelle1!$A$2:$M$496,13,0))</f>
        <v/>
      </c>
      <c r="F144" s="56"/>
      <c r="G144" s="57"/>
      <c r="H144" s="57"/>
      <c r="I144" s="57"/>
      <c r="J144" s="57"/>
      <c r="K144" s="57"/>
      <c r="L144" s="118" t="str">
        <f>IF(K144="","",VLOOKUP(F144,Tabelle1!$A$2:$I$496,9,0))</f>
        <v/>
      </c>
      <c r="M144" s="57" t="str">
        <f>IF(K144="","",VLOOKUP(F144,Tabelle1!$A$2:$G$496,7,0))</f>
        <v/>
      </c>
      <c r="N144" s="66" t="str">
        <f t="shared" si="5"/>
        <v/>
      </c>
      <c r="O144" s="66" t="str">
        <f>IF(K144="","",((K144*VLOOKUP(F144,Tabelle1!$A$2:$I$496,8,0))/$W$4))</f>
        <v/>
      </c>
      <c r="P144" s="76" t="str">
        <f>IF(K144="","",VLOOKUP(F144,Tabelle1!$A$2:$L$496,12,0))</f>
        <v/>
      </c>
    </row>
    <row r="145" spans="1:16">
      <c r="A145" s="67"/>
      <c r="B145" s="55"/>
      <c r="C145" s="55"/>
      <c r="D145" s="57" t="str">
        <f>IF(K145="","",VLOOKUP(F145,Tabelle1!$A$2:$C$496,3,0))</f>
        <v/>
      </c>
      <c r="E145" s="57" t="str">
        <f>IF(K145="","",VLOOKUP(F145,Tabelle1!$A$2:$M$496,13,0))</f>
        <v/>
      </c>
      <c r="F145" s="56"/>
      <c r="G145" s="57"/>
      <c r="H145" s="57"/>
      <c r="I145" s="57"/>
      <c r="J145" s="57"/>
      <c r="K145" s="57"/>
      <c r="L145" s="118" t="str">
        <f>IF(K145="","",VLOOKUP(F145,Tabelle1!$A$2:$I$496,9,0))</f>
        <v/>
      </c>
      <c r="M145" s="57" t="str">
        <f>IF(K145="","",VLOOKUP(F145,Tabelle1!$A$2:$G$496,7,0))</f>
        <v/>
      </c>
      <c r="N145" s="66" t="str">
        <f t="shared" si="5"/>
        <v/>
      </c>
      <c r="O145" s="66" t="str">
        <f>IF(K145="","",((K145*VLOOKUP(F145,Tabelle1!$A$2:$I$496,8,0))/$W$4))</f>
        <v/>
      </c>
      <c r="P145" s="76" t="str">
        <f>IF(K145="","",VLOOKUP(F145,Tabelle1!$A$2:$L$496,12,0))</f>
        <v/>
      </c>
    </row>
    <row r="146" spans="1:16">
      <c r="A146" s="67"/>
      <c r="B146" s="55"/>
      <c r="C146" s="55"/>
      <c r="D146" s="57" t="str">
        <f>IF(K146="","",VLOOKUP(F146,Tabelle1!$A$2:$C$496,3,0))</f>
        <v/>
      </c>
      <c r="E146" s="57" t="str">
        <f>IF(K146="","",VLOOKUP(F146,Tabelle1!$A$2:$M$496,13,0))</f>
        <v/>
      </c>
      <c r="F146" s="56"/>
      <c r="G146" s="57"/>
      <c r="H146" s="57"/>
      <c r="I146" s="57"/>
      <c r="J146" s="57"/>
      <c r="K146" s="57"/>
      <c r="L146" s="118" t="str">
        <f>IF(K146="","",VLOOKUP(F146,Tabelle1!$A$2:$I$496,9,0))</f>
        <v/>
      </c>
      <c r="M146" s="57" t="str">
        <f>IF(K146="","",VLOOKUP(F146,Tabelle1!$A$2:$G$496,7,0))</f>
        <v/>
      </c>
      <c r="N146" s="66" t="str">
        <f t="shared" si="5"/>
        <v/>
      </c>
      <c r="O146" s="66" t="str">
        <f>IF(K146="","",((K146*VLOOKUP(F146,Tabelle1!$A$2:$I$496,8,0))/$W$4))</f>
        <v/>
      </c>
      <c r="P146" s="76" t="str">
        <f>IF(K146="","",VLOOKUP(F146,Tabelle1!$A$2:$L$496,12,0))</f>
        <v/>
      </c>
    </row>
    <row r="147" spans="1:16">
      <c r="A147" s="67"/>
      <c r="B147" s="55"/>
      <c r="C147" s="55"/>
      <c r="D147" s="57" t="str">
        <f>IF(K147="","",VLOOKUP(F147,Tabelle1!$A$2:$C$496,3,0))</f>
        <v/>
      </c>
      <c r="E147" s="57" t="str">
        <f>IF(K147="","",VLOOKUP(F147,Tabelle1!$A$2:$M$496,13,0))</f>
        <v/>
      </c>
      <c r="F147" s="56"/>
      <c r="G147" s="57"/>
      <c r="H147" s="57"/>
      <c r="I147" s="57"/>
      <c r="J147" s="57"/>
      <c r="K147" s="57"/>
      <c r="L147" s="118" t="str">
        <f>IF(K147="","",VLOOKUP(F147,Tabelle1!$A$2:$I$496,9,0))</f>
        <v/>
      </c>
      <c r="M147" s="57" t="str">
        <f>IF(K147="","",VLOOKUP(F147,Tabelle1!$A$2:$G$496,7,0))</f>
        <v/>
      </c>
      <c r="N147" s="66" t="str">
        <f t="shared" si="5"/>
        <v/>
      </c>
      <c r="O147" s="66" t="str">
        <f>IF(K147="","",((K147*VLOOKUP(F147,Tabelle1!$A$2:$I$496,8,0))/$W$4))</f>
        <v/>
      </c>
      <c r="P147" s="76" t="str">
        <f>IF(K147="","",VLOOKUP(F147,Tabelle1!$A$2:$L$496,12,0))</f>
        <v/>
      </c>
    </row>
    <row r="148" spans="1:16">
      <c r="A148" s="67"/>
      <c r="B148" s="55"/>
      <c r="C148" s="55"/>
      <c r="D148" s="57" t="str">
        <f>IF(K148="","",VLOOKUP(F148,Tabelle1!$A$2:$C$496,3,0))</f>
        <v/>
      </c>
      <c r="E148" s="57" t="str">
        <f>IF(K148="","",VLOOKUP(F148,Tabelle1!$A$2:$M$496,13,0))</f>
        <v/>
      </c>
      <c r="F148" s="56"/>
      <c r="G148" s="57"/>
      <c r="H148" s="57"/>
      <c r="I148" s="57"/>
      <c r="J148" s="57"/>
      <c r="K148" s="57"/>
      <c r="L148" s="118" t="str">
        <f>IF(K148="","",VLOOKUP(F148,Tabelle1!$A$2:$I$496,9,0))</f>
        <v/>
      </c>
      <c r="M148" s="57" t="str">
        <f>IF(K148="","",VLOOKUP(F148,Tabelle1!$A$2:$G$496,7,0))</f>
        <v/>
      </c>
      <c r="N148" s="66" t="str">
        <f t="shared" si="5"/>
        <v/>
      </c>
      <c r="O148" s="66" t="str">
        <f>IF(K148="","",((K148*VLOOKUP(F148,Tabelle1!$A$2:$I$496,8,0))/$W$4))</f>
        <v/>
      </c>
      <c r="P148" s="76" t="str">
        <f>IF(K148="","",VLOOKUP(F148,Tabelle1!$A$2:$L$496,12,0))</f>
        <v/>
      </c>
    </row>
    <row r="149" spans="1:16">
      <c r="A149" s="67"/>
      <c r="B149" s="55"/>
      <c r="C149" s="55"/>
      <c r="D149" s="57" t="str">
        <f>IF(K149="","",VLOOKUP(F149,Tabelle1!$A$2:$C$496,3,0))</f>
        <v/>
      </c>
      <c r="E149" s="57" t="str">
        <f>IF(K149="","",VLOOKUP(F149,Tabelle1!$A$2:$M$496,13,0))</f>
        <v/>
      </c>
      <c r="F149" s="56"/>
      <c r="G149" s="57"/>
      <c r="H149" s="57"/>
      <c r="I149" s="57"/>
      <c r="J149" s="57"/>
      <c r="K149" s="57"/>
      <c r="L149" s="118" t="str">
        <f>IF(K149="","",VLOOKUP(F149,Tabelle1!$A$2:$I$496,9,0))</f>
        <v/>
      </c>
      <c r="M149" s="57" t="str">
        <f>IF(K149="","",VLOOKUP(F149,Tabelle1!$A$2:$G$496,7,0))</f>
        <v/>
      </c>
      <c r="N149" s="66" t="str">
        <f t="shared" si="5"/>
        <v/>
      </c>
      <c r="O149" s="66" t="str">
        <f>IF(K149="","",((K149*VLOOKUP(F149,Tabelle1!$A$2:$I$496,8,0))/$W$4))</f>
        <v/>
      </c>
      <c r="P149" s="76" t="str">
        <f>IF(K149="","",VLOOKUP(F149,Tabelle1!$A$2:$L$496,12,0))</f>
        <v/>
      </c>
    </row>
    <row r="150" spans="1:16">
      <c r="A150" s="67"/>
      <c r="B150" s="55"/>
      <c r="C150" s="55"/>
      <c r="D150" s="57" t="str">
        <f>IF(K150="","",VLOOKUP(F150,Tabelle1!$A$2:$C$496,3,0))</f>
        <v/>
      </c>
      <c r="E150" s="57" t="str">
        <f>IF(K150="","",VLOOKUP(F150,Tabelle1!$A$2:$M$496,13,0))</f>
        <v/>
      </c>
      <c r="F150" s="56"/>
      <c r="G150" s="57"/>
      <c r="H150" s="57"/>
      <c r="I150" s="57"/>
      <c r="J150" s="57"/>
      <c r="K150" s="57"/>
      <c r="L150" s="118" t="str">
        <f>IF(K150="","",VLOOKUP(F150,Tabelle1!$A$2:$I$496,9,0))</f>
        <v/>
      </c>
      <c r="M150" s="57" t="str">
        <f>IF(K150="","",VLOOKUP(F150,Tabelle1!$A$2:$G$496,7,0))</f>
        <v/>
      </c>
      <c r="N150" s="66" t="str">
        <f t="shared" si="5"/>
        <v/>
      </c>
      <c r="O150" s="66" t="str">
        <f>IF(K150="","",((K150*VLOOKUP(F150,Tabelle1!$A$2:$I$496,8,0))/$W$4))</f>
        <v/>
      </c>
      <c r="P150" s="76" t="str">
        <f>IF(K150="","",VLOOKUP(F150,Tabelle1!$A$2:$L$496,12,0))</f>
        <v/>
      </c>
    </row>
    <row r="151" spans="1:16">
      <c r="A151" s="67"/>
      <c r="B151" s="55"/>
      <c r="C151" s="55"/>
      <c r="D151" s="57" t="str">
        <f>IF(K151="","",VLOOKUP(F151,Tabelle1!$A$2:$C$496,3,0))</f>
        <v/>
      </c>
      <c r="E151" s="57" t="str">
        <f>IF(K151="","",VLOOKUP(F151,Tabelle1!$A$2:$M$496,13,0))</f>
        <v/>
      </c>
      <c r="F151" s="56"/>
      <c r="G151" s="57"/>
      <c r="H151" s="57"/>
      <c r="I151" s="57"/>
      <c r="J151" s="57"/>
      <c r="K151" s="57"/>
      <c r="L151" s="118" t="str">
        <f>IF(K151="","",VLOOKUP(F151,Tabelle1!$A$2:$I$496,9,0))</f>
        <v/>
      </c>
      <c r="M151" s="57" t="str">
        <f>IF(K151="","",VLOOKUP(F151,Tabelle1!$A$2:$G$496,7,0))</f>
        <v/>
      </c>
      <c r="N151" s="66" t="str">
        <f t="shared" si="5"/>
        <v/>
      </c>
      <c r="O151" s="66" t="str">
        <f>IF(K151="","",((K151*VLOOKUP(F151,Tabelle1!$A$2:$I$496,8,0))/$W$4))</f>
        <v/>
      </c>
      <c r="P151" s="76" t="str">
        <f>IF(K151="","",VLOOKUP(F151,Tabelle1!$A$2:$L$496,12,0))</f>
        <v/>
      </c>
    </row>
    <row r="152" spans="1:16">
      <c r="A152" s="67"/>
      <c r="B152" s="55"/>
      <c r="C152" s="55"/>
      <c r="D152" s="57" t="str">
        <f>IF(K152="","",VLOOKUP(F152,Tabelle1!$A$2:$C$496,3,0))</f>
        <v/>
      </c>
      <c r="E152" s="57" t="str">
        <f>IF(K152="","",VLOOKUP(F152,Tabelle1!$A$2:$M$496,13,0))</f>
        <v/>
      </c>
      <c r="F152" s="56"/>
      <c r="G152" s="57"/>
      <c r="H152" s="57"/>
      <c r="I152" s="57"/>
      <c r="J152" s="57"/>
      <c r="K152" s="57"/>
      <c r="L152" s="118" t="str">
        <f>IF(K152="","",VLOOKUP(F152,Tabelle1!$A$2:$I$496,9,0))</f>
        <v/>
      </c>
      <c r="M152" s="57" t="str">
        <f>IF(K152="","",VLOOKUP(F152,Tabelle1!$A$2:$G$496,7,0))</f>
        <v/>
      </c>
      <c r="N152" s="66" t="str">
        <f t="shared" si="5"/>
        <v/>
      </c>
      <c r="O152" s="66" t="str">
        <f>IF(K152="","",((K152*VLOOKUP(F152,Tabelle1!$A$2:$I$496,8,0))/$W$4))</f>
        <v/>
      </c>
      <c r="P152" s="76" t="str">
        <f>IF(K152="","",VLOOKUP(F152,Tabelle1!$A$2:$L$496,12,0))</f>
        <v/>
      </c>
    </row>
    <row r="153" spans="1:16">
      <c r="A153" s="67"/>
      <c r="B153" s="55"/>
      <c r="C153" s="55"/>
      <c r="D153" s="57" t="str">
        <f>IF(K153="","",VLOOKUP(F153,Tabelle1!$A$2:$C$496,3,0))</f>
        <v/>
      </c>
      <c r="E153" s="57" t="str">
        <f>IF(K153="","",VLOOKUP(F153,Tabelle1!$A$2:$M$496,13,0))</f>
        <v/>
      </c>
      <c r="F153" s="56"/>
      <c r="G153" s="57"/>
      <c r="H153" s="57"/>
      <c r="I153" s="57"/>
      <c r="J153" s="57"/>
      <c r="K153" s="57"/>
      <c r="L153" s="118" t="str">
        <f>IF(K153="","",VLOOKUP(F153,Tabelle1!$A$2:$I$496,9,0))</f>
        <v/>
      </c>
      <c r="M153" s="57" t="str">
        <f>IF(K153="","",VLOOKUP(F153,Tabelle1!$A$2:$G$496,7,0))</f>
        <v/>
      </c>
      <c r="N153" s="66" t="str">
        <f t="shared" si="5"/>
        <v/>
      </c>
      <c r="O153" s="66" t="str">
        <f>IF(K153="","",((K153*VLOOKUP(F153,Tabelle1!$A$2:$I$496,8,0))/$W$4))</f>
        <v/>
      </c>
      <c r="P153" s="76" t="str">
        <f>IF(K153="","",VLOOKUP(F153,Tabelle1!$A$2:$L$496,12,0))</f>
        <v/>
      </c>
    </row>
    <row r="154" spans="1:16">
      <c r="A154" s="67"/>
      <c r="B154" s="55"/>
      <c r="C154" s="55"/>
      <c r="D154" s="57" t="str">
        <f>IF(K154="","",VLOOKUP(F154,Tabelle1!$A$2:$C$496,3,0))</f>
        <v/>
      </c>
      <c r="E154" s="57" t="str">
        <f>IF(K154="","",VLOOKUP(F154,Tabelle1!$A$2:$M$496,13,0))</f>
        <v/>
      </c>
      <c r="F154" s="56"/>
      <c r="G154" s="57"/>
      <c r="H154" s="57"/>
      <c r="I154" s="57"/>
      <c r="J154" s="57"/>
      <c r="K154" s="57"/>
      <c r="L154" s="118" t="str">
        <f>IF(K154="","",VLOOKUP(F154,Tabelle1!$A$2:$I$496,9,0))</f>
        <v/>
      </c>
      <c r="M154" s="57" t="str">
        <f>IF(K154="","",VLOOKUP(F154,Tabelle1!$A$2:$G$496,7,0))</f>
        <v/>
      </c>
      <c r="N154" s="66" t="str">
        <f t="shared" si="5"/>
        <v/>
      </c>
      <c r="O154" s="66" t="str">
        <f>IF(K154="","",((K154*VLOOKUP(F154,Tabelle1!$A$2:$I$496,8,0))/$W$4))</f>
        <v/>
      </c>
      <c r="P154" s="76" t="str">
        <f>IF(K154="","",VLOOKUP(F154,Tabelle1!$A$2:$L$496,12,0))</f>
        <v/>
      </c>
    </row>
    <row r="155" spans="1:16">
      <c r="A155" s="67"/>
      <c r="B155" s="55"/>
      <c r="C155" s="55"/>
      <c r="D155" s="57" t="str">
        <f>IF(K155="","",VLOOKUP(F155,Tabelle1!$A$2:$C$496,3,0))</f>
        <v/>
      </c>
      <c r="E155" s="57" t="str">
        <f>IF(K155="","",VLOOKUP(F155,Tabelle1!$A$2:$M$496,13,0))</f>
        <v/>
      </c>
      <c r="F155" s="56"/>
      <c r="G155" s="57"/>
      <c r="H155" s="57"/>
      <c r="I155" s="57"/>
      <c r="J155" s="57"/>
      <c r="K155" s="57"/>
      <c r="L155" s="118" t="str">
        <f>IF(K155="","",VLOOKUP(F155,Tabelle1!$A$2:$I$496,9,0))</f>
        <v/>
      </c>
      <c r="M155" s="57" t="str">
        <f>IF(K155="","",VLOOKUP(F155,Tabelle1!$A$2:$G$496,7,0))</f>
        <v/>
      </c>
      <c r="N155" s="66" t="str">
        <f t="shared" si="5"/>
        <v/>
      </c>
      <c r="O155" s="66" t="str">
        <f>IF(K155="","",((K155*VLOOKUP(F155,Tabelle1!$A$2:$I$496,8,0))/$W$4))</f>
        <v/>
      </c>
      <c r="P155" s="76" t="str">
        <f>IF(K155="","",VLOOKUP(F155,Tabelle1!$A$2:$L$496,12,0))</f>
        <v/>
      </c>
    </row>
    <row r="156" spans="1:16">
      <c r="A156" s="67"/>
      <c r="B156" s="55"/>
      <c r="C156" s="55"/>
      <c r="D156" s="57" t="str">
        <f>IF(K156="","",VLOOKUP(F156,Tabelle1!$A$2:$C$496,3,0))</f>
        <v/>
      </c>
      <c r="E156" s="57" t="str">
        <f>IF(K156="","",VLOOKUP(F156,Tabelle1!$A$2:$M$496,13,0))</f>
        <v/>
      </c>
      <c r="F156" s="56"/>
      <c r="G156" s="57"/>
      <c r="H156" s="57"/>
      <c r="I156" s="57"/>
      <c r="J156" s="57"/>
      <c r="K156" s="57"/>
      <c r="L156" s="118" t="str">
        <f>IF(K156="","",VLOOKUP(F156,Tabelle1!$A$2:$I$496,9,0))</f>
        <v/>
      </c>
      <c r="M156" s="57" t="str">
        <f>IF(K156="","",VLOOKUP(F156,Tabelle1!$A$2:$G$496,7,0))</f>
        <v/>
      </c>
      <c r="N156" s="66" t="str">
        <f t="shared" si="5"/>
        <v/>
      </c>
      <c r="O156" s="66" t="str">
        <f>IF(K156="","",((K156*VLOOKUP(F156,Tabelle1!$A$2:$I$496,8,0))/$W$4))</f>
        <v/>
      </c>
      <c r="P156" s="76" t="str">
        <f>IF(K156="","",VLOOKUP(F156,Tabelle1!$A$2:$L$496,12,0))</f>
        <v/>
      </c>
    </row>
    <row r="157" spans="1:16">
      <c r="A157" s="67"/>
      <c r="B157" s="55"/>
      <c r="C157" s="55"/>
      <c r="D157" s="57" t="str">
        <f>IF(K157="","",VLOOKUP(F157,Tabelle1!$A$2:$C$496,3,0))</f>
        <v/>
      </c>
      <c r="E157" s="57" t="str">
        <f>IF(K157="","",VLOOKUP(F157,Tabelle1!$A$2:$M$496,13,0))</f>
        <v/>
      </c>
      <c r="F157" s="56"/>
      <c r="G157" s="57"/>
      <c r="H157" s="57"/>
      <c r="I157" s="57"/>
      <c r="J157" s="57"/>
      <c r="K157" s="57"/>
      <c r="L157" s="118" t="str">
        <f>IF(K157="","",VLOOKUP(F157,Tabelle1!$A$2:$I$496,9,0))</f>
        <v/>
      </c>
      <c r="M157" s="57" t="str">
        <f>IF(K157="","",VLOOKUP(F157,Tabelle1!$A$2:$G$496,7,0))</f>
        <v/>
      </c>
      <c r="N157" s="66" t="str">
        <f t="shared" si="5"/>
        <v/>
      </c>
      <c r="O157" s="66" t="str">
        <f>IF(K157="","",((K157*VLOOKUP(F157,Tabelle1!$A$2:$I$496,8,0))/$W$4))</f>
        <v/>
      </c>
      <c r="P157" s="76" t="str">
        <f>IF(K157="","",VLOOKUP(F157,Tabelle1!$A$2:$L$496,12,0))</f>
        <v/>
      </c>
    </row>
    <row r="158" spans="1:16">
      <c r="A158" s="67"/>
      <c r="B158" s="55"/>
      <c r="C158" s="55"/>
      <c r="D158" s="57" t="str">
        <f>IF(K158="","",VLOOKUP(F158,Tabelle1!$A$2:$C$496,3,0))</f>
        <v/>
      </c>
      <c r="E158" s="57" t="str">
        <f>IF(K158="","",VLOOKUP(F158,Tabelle1!$A$2:$M$496,13,0))</f>
        <v/>
      </c>
      <c r="F158" s="56"/>
      <c r="G158" s="57"/>
      <c r="H158" s="57"/>
      <c r="I158" s="57"/>
      <c r="J158" s="57"/>
      <c r="K158" s="57"/>
      <c r="L158" s="118" t="str">
        <f>IF(K158="","",VLOOKUP(F158,Tabelle1!$A$2:$I$496,9,0))</f>
        <v/>
      </c>
      <c r="M158" s="57" t="str">
        <f>IF(K158="","",VLOOKUP(F158,Tabelle1!$A$2:$G$496,7,0))</f>
        <v/>
      </c>
      <c r="N158" s="66" t="str">
        <f t="shared" si="5"/>
        <v/>
      </c>
      <c r="O158" s="66" t="str">
        <f>IF(K158="","",((K158*VLOOKUP(F158,Tabelle1!$A$2:$I$496,8,0))/$W$4))</f>
        <v/>
      </c>
      <c r="P158" s="76" t="str">
        <f>IF(K158="","",VLOOKUP(F158,Tabelle1!$A$2:$L$496,12,0))</f>
        <v/>
      </c>
    </row>
    <row r="159" spans="1:16">
      <c r="A159" s="67"/>
      <c r="B159" s="55"/>
      <c r="C159" s="55"/>
      <c r="D159" s="57" t="str">
        <f>IF(K159="","",VLOOKUP(F159,Tabelle1!$A$2:$C$496,3,0))</f>
        <v/>
      </c>
      <c r="E159" s="57" t="str">
        <f>IF(K159="","",VLOOKUP(F159,Tabelle1!$A$2:$M$496,13,0))</f>
        <v/>
      </c>
      <c r="F159" s="56"/>
      <c r="G159" s="57"/>
      <c r="H159" s="57"/>
      <c r="I159" s="57"/>
      <c r="J159" s="57"/>
      <c r="K159" s="57"/>
      <c r="L159" s="118" t="str">
        <f>IF(K159="","",VLOOKUP(F159,Tabelle1!$A$2:$I$496,9,0))</f>
        <v/>
      </c>
      <c r="M159" s="57" t="str">
        <f>IF(K159="","",VLOOKUP(F159,Tabelle1!$A$2:$G$496,7,0))</f>
        <v/>
      </c>
      <c r="N159" s="66" t="str">
        <f t="shared" si="5"/>
        <v/>
      </c>
      <c r="O159" s="66" t="str">
        <f>IF(K159="","",((K159*VLOOKUP(F159,Tabelle1!$A$2:$I$496,8,0))/$W$4))</f>
        <v/>
      </c>
      <c r="P159" s="76" t="str">
        <f>IF(K159="","",VLOOKUP(F159,Tabelle1!$A$2:$L$496,12,0))</f>
        <v/>
      </c>
    </row>
    <row r="160" spans="1:16">
      <c r="A160" s="67"/>
      <c r="B160" s="55"/>
      <c r="C160" s="55"/>
      <c r="D160" s="57" t="str">
        <f>IF(K160="","",VLOOKUP(F160,Tabelle1!$A$2:$C$496,3,0))</f>
        <v/>
      </c>
      <c r="E160" s="57" t="str">
        <f>IF(K160="","",VLOOKUP(F160,Tabelle1!$A$2:$M$496,13,0))</f>
        <v/>
      </c>
      <c r="F160" s="56"/>
      <c r="G160" s="57"/>
      <c r="H160" s="57"/>
      <c r="I160" s="57"/>
      <c r="J160" s="57"/>
      <c r="K160" s="57"/>
      <c r="L160" s="118" t="str">
        <f>IF(K160="","",VLOOKUP(F160,Tabelle1!$A$2:$I$496,9,0))</f>
        <v/>
      </c>
      <c r="M160" s="57" t="str">
        <f>IF(K160="","",VLOOKUP(F160,Tabelle1!$A$2:$G$496,7,0))</f>
        <v/>
      </c>
      <c r="N160" s="66" t="str">
        <f t="shared" si="5"/>
        <v/>
      </c>
      <c r="O160" s="66" t="str">
        <f>IF(K160="","",((K160*VLOOKUP(F160,Tabelle1!$A$2:$I$496,8,0))/$W$4))</f>
        <v/>
      </c>
      <c r="P160" s="76" t="str">
        <f>IF(K160="","",VLOOKUP(F160,Tabelle1!$A$2:$L$496,12,0))</f>
        <v/>
      </c>
    </row>
    <row r="161" spans="1:16">
      <c r="A161" s="67"/>
      <c r="B161" s="55"/>
      <c r="C161" s="55"/>
      <c r="D161" s="57" t="str">
        <f>IF(K161="","",VLOOKUP(F161,Tabelle1!$A$2:$C$496,3,0))</f>
        <v/>
      </c>
      <c r="E161" s="57" t="str">
        <f>IF(K161="","",VLOOKUP(F161,Tabelle1!$A$2:$M$496,13,0))</f>
        <v/>
      </c>
      <c r="F161" s="56"/>
      <c r="G161" s="57"/>
      <c r="H161" s="57"/>
      <c r="I161" s="57"/>
      <c r="J161" s="57"/>
      <c r="K161" s="57"/>
      <c r="L161" s="118" t="str">
        <f>IF(K161="","",VLOOKUP(F161,Tabelle1!$A$2:$I$496,9,0))</f>
        <v/>
      </c>
      <c r="M161" s="57" t="str">
        <f>IF(K161="","",VLOOKUP(F161,Tabelle1!$A$2:$G$496,7,0))</f>
        <v/>
      </c>
      <c r="N161" s="66" t="str">
        <f t="shared" si="5"/>
        <v/>
      </c>
      <c r="O161" s="66" t="str">
        <f>IF(K161="","",((K161*VLOOKUP(F161,Tabelle1!$A$2:$I$496,8,0))/$W$4))</f>
        <v/>
      </c>
      <c r="P161" s="76" t="str">
        <f>IF(K161="","",VLOOKUP(F161,Tabelle1!$A$2:$L$496,12,0))</f>
        <v/>
      </c>
    </row>
    <row r="162" spans="1:16">
      <c r="A162" s="67"/>
      <c r="B162" s="55"/>
      <c r="C162" s="55"/>
      <c r="D162" s="57" t="str">
        <f>IF(K162="","",VLOOKUP(F162,Tabelle1!$A$2:$C$496,3,0))</f>
        <v/>
      </c>
      <c r="E162" s="57" t="str">
        <f>IF(K162="","",VLOOKUP(F162,Tabelle1!$A$2:$M$496,13,0))</f>
        <v/>
      </c>
      <c r="F162" s="56"/>
      <c r="G162" s="57"/>
      <c r="H162" s="57"/>
      <c r="I162" s="57"/>
      <c r="J162" s="57"/>
      <c r="K162" s="57"/>
      <c r="L162" s="118" t="str">
        <f>IF(K162="","",VLOOKUP(F162,Tabelle1!$A$2:$I$496,9,0))</f>
        <v/>
      </c>
      <c r="M162" s="57" t="str">
        <f>IF(K162="","",VLOOKUP(F162,Tabelle1!$A$2:$G$496,7,0))</f>
        <v/>
      </c>
      <c r="N162" s="66" t="str">
        <f t="shared" si="5"/>
        <v/>
      </c>
      <c r="O162" s="66" t="str">
        <f>IF(K162="","",((K162*VLOOKUP(F162,Tabelle1!$A$2:$I$496,8,0))/$W$4))</f>
        <v/>
      </c>
      <c r="P162" s="76" t="str">
        <f>IF(K162="","",VLOOKUP(F162,Tabelle1!$A$2:$L$496,12,0))</f>
        <v/>
      </c>
    </row>
    <row r="163" spans="1:16">
      <c r="A163" s="67"/>
      <c r="B163" s="55"/>
      <c r="C163" s="55"/>
      <c r="D163" s="57" t="str">
        <f>IF(K163="","",VLOOKUP(F163,Tabelle1!$A$2:$C$496,3,0))</f>
        <v/>
      </c>
      <c r="E163" s="57" t="str">
        <f>IF(K163="","",VLOOKUP(F163,Tabelle1!$A$2:$M$496,13,0))</f>
        <v/>
      </c>
      <c r="F163" s="56"/>
      <c r="G163" s="57"/>
      <c r="H163" s="57"/>
      <c r="I163" s="57"/>
      <c r="J163" s="57"/>
      <c r="K163" s="57"/>
      <c r="L163" s="118" t="str">
        <f>IF(K163="","",VLOOKUP(F163,Tabelle1!$A$2:$I$496,9,0))</f>
        <v/>
      </c>
      <c r="M163" s="57" t="str">
        <f>IF(K163="","",VLOOKUP(F163,Tabelle1!$A$2:$G$496,7,0))</f>
        <v/>
      </c>
      <c r="N163" s="66" t="str">
        <f t="shared" si="5"/>
        <v/>
      </c>
      <c r="O163" s="66" t="str">
        <f>IF(K163="","",((K163*VLOOKUP(F163,Tabelle1!$A$2:$I$496,8,0))/$W$4))</f>
        <v/>
      </c>
      <c r="P163" s="76" t="str">
        <f>IF(K163="","",VLOOKUP(F163,Tabelle1!$A$2:$L$496,12,0))</f>
        <v/>
      </c>
    </row>
    <row r="164" spans="1:16">
      <c r="A164" s="67"/>
      <c r="B164" s="55"/>
      <c r="C164" s="55"/>
      <c r="D164" s="57" t="str">
        <f>IF(K164="","",VLOOKUP(F164,Tabelle1!$A$2:$C$496,3,0))</f>
        <v/>
      </c>
      <c r="E164" s="57" t="str">
        <f>IF(K164="","",VLOOKUP(F164,Tabelle1!$A$2:$M$496,13,0))</f>
        <v/>
      </c>
      <c r="F164" s="56"/>
      <c r="G164" s="57"/>
      <c r="H164" s="57"/>
      <c r="I164" s="57"/>
      <c r="J164" s="57"/>
      <c r="K164" s="57"/>
      <c r="L164" s="118" t="str">
        <f>IF(K164="","",VLOOKUP(F164,Tabelle1!$A$2:$I$496,9,0))</f>
        <v/>
      </c>
      <c r="M164" s="57" t="str">
        <f>IF(K164="","",VLOOKUP(F164,Tabelle1!$A$2:$G$496,7,0))</f>
        <v/>
      </c>
      <c r="N164" s="66" t="str">
        <f t="shared" si="5"/>
        <v/>
      </c>
      <c r="O164" s="66" t="str">
        <f>IF(K164="","",((K164*VLOOKUP(F164,Tabelle1!$A$2:$I$496,8,0))/$W$4))</f>
        <v/>
      </c>
      <c r="P164" s="76" t="str">
        <f>IF(K164="","",VLOOKUP(F164,Tabelle1!$A$2:$L$496,12,0))</f>
        <v/>
      </c>
    </row>
    <row r="165" spans="1:16">
      <c r="A165" s="67"/>
      <c r="B165" s="55"/>
      <c r="C165" s="55"/>
      <c r="D165" s="57" t="str">
        <f>IF(K165="","",VLOOKUP(F165,Tabelle1!$A$2:$C$496,3,0))</f>
        <v/>
      </c>
      <c r="E165" s="57" t="str">
        <f>IF(K165="","",VLOOKUP(F165,Tabelle1!$A$2:$M$496,13,0))</f>
        <v/>
      </c>
      <c r="F165" s="56"/>
      <c r="G165" s="57"/>
      <c r="H165" s="57"/>
      <c r="I165" s="57"/>
      <c r="J165" s="57"/>
      <c r="K165" s="57"/>
      <c r="L165" s="118" t="str">
        <f>IF(K165="","",VLOOKUP(F165,Tabelle1!$A$2:$I$496,9,0))</f>
        <v/>
      </c>
      <c r="M165" s="57" t="str">
        <f>IF(K165="","",VLOOKUP(F165,Tabelle1!$A$2:$G$496,7,0))</f>
        <v/>
      </c>
      <c r="N165" s="66" t="str">
        <f t="shared" si="5"/>
        <v/>
      </c>
      <c r="O165" s="66" t="str">
        <f>IF(K165="","",((K165*VLOOKUP(F165,Tabelle1!$A$2:$I$496,8,0))/$W$4))</f>
        <v/>
      </c>
      <c r="P165" s="76" t="str">
        <f>IF(K165="","",VLOOKUP(F165,Tabelle1!$A$2:$L$496,12,0))</f>
        <v/>
      </c>
    </row>
    <row r="166" spans="1:16">
      <c r="A166" s="67"/>
      <c r="B166" s="55"/>
      <c r="C166" s="55"/>
      <c r="D166" s="57" t="str">
        <f>IF(K166="","",VLOOKUP(F166,Tabelle1!$A$2:$C$496,3,0))</f>
        <v/>
      </c>
      <c r="E166" s="57" t="str">
        <f>IF(K166="","",VLOOKUP(F166,Tabelle1!$A$2:$M$496,13,0))</f>
        <v/>
      </c>
      <c r="F166" s="56"/>
      <c r="G166" s="57"/>
      <c r="H166" s="57"/>
      <c r="I166" s="57"/>
      <c r="J166" s="57"/>
      <c r="K166" s="57"/>
      <c r="L166" s="118" t="str">
        <f>IF(K166="","",VLOOKUP(F166,Tabelle1!$A$2:$I$496,9,0))</f>
        <v/>
      </c>
      <c r="M166" s="57" t="str">
        <f>IF(K166="","",VLOOKUP(F166,Tabelle1!$A$2:$G$496,7,0))</f>
        <v/>
      </c>
      <c r="N166" s="66" t="str">
        <f t="shared" si="5"/>
        <v/>
      </c>
      <c r="O166" s="66" t="str">
        <f>IF(K166="","",((K166*VLOOKUP(F166,Tabelle1!$A$2:$I$496,8,0))/$W$4))</f>
        <v/>
      </c>
      <c r="P166" s="76" t="str">
        <f>IF(K166="","",VLOOKUP(F166,Tabelle1!$A$2:$L$496,12,0))</f>
        <v/>
      </c>
    </row>
    <row r="167" spans="1:16">
      <c r="A167" s="67"/>
      <c r="B167" s="55"/>
      <c r="C167" s="55"/>
      <c r="D167" s="57" t="str">
        <f>IF(K167="","",VLOOKUP(F167,Tabelle1!$A$2:$C$496,3,0))</f>
        <v/>
      </c>
      <c r="E167" s="57" t="str">
        <f>IF(K167="","",VLOOKUP(F167,Tabelle1!$A$2:$M$496,13,0))</f>
        <v/>
      </c>
      <c r="F167" s="56"/>
      <c r="G167" s="57"/>
      <c r="H167" s="57"/>
      <c r="I167" s="57"/>
      <c r="J167" s="57"/>
      <c r="K167" s="57"/>
      <c r="L167" s="118" t="str">
        <f>IF(K167="","",VLOOKUP(F167,Tabelle1!$A$2:$I$496,9,0))</f>
        <v/>
      </c>
      <c r="M167" s="57" t="str">
        <f>IF(K167="","",VLOOKUP(F167,Tabelle1!$A$2:$G$496,7,0))</f>
        <v/>
      </c>
      <c r="N167" s="66" t="str">
        <f t="shared" si="5"/>
        <v/>
      </c>
      <c r="O167" s="66" t="str">
        <f>IF(K167="","",((K167*VLOOKUP(F167,Tabelle1!$A$2:$I$496,8,0))/$W$4))</f>
        <v/>
      </c>
      <c r="P167" s="76" t="str">
        <f>IF(K167="","",VLOOKUP(F167,Tabelle1!$A$2:$L$496,12,0))</f>
        <v/>
      </c>
    </row>
    <row r="168" spans="1:16">
      <c r="A168" s="67"/>
      <c r="B168" s="55"/>
      <c r="C168" s="55"/>
      <c r="D168" s="57" t="str">
        <f>IF(K168="","",VLOOKUP(F168,Tabelle1!$A$2:$C$496,3,0))</f>
        <v/>
      </c>
      <c r="E168" s="57" t="str">
        <f>IF(K168="","",VLOOKUP(F168,Tabelle1!$A$2:$M$496,13,0))</f>
        <v/>
      </c>
      <c r="F168" s="56"/>
      <c r="G168" s="57"/>
      <c r="H168" s="57"/>
      <c r="I168" s="57"/>
      <c r="J168" s="57"/>
      <c r="K168" s="57"/>
      <c r="L168" s="118" t="str">
        <f>IF(K168="","",VLOOKUP(F168,Tabelle1!$A$2:$I$496,9,0))</f>
        <v/>
      </c>
      <c r="M168" s="57" t="str">
        <f>IF(K168="","",VLOOKUP(F168,Tabelle1!$A$2:$G$496,7,0))</f>
        <v/>
      </c>
      <c r="N168" s="66" t="str">
        <f t="shared" si="5"/>
        <v/>
      </c>
      <c r="O168" s="66" t="str">
        <f>IF(K168="","",((K168*VLOOKUP(F168,Tabelle1!$A$2:$I$496,8,0))/$W$4))</f>
        <v/>
      </c>
      <c r="P168" s="76" t="str">
        <f>IF(K168="","",VLOOKUP(F168,Tabelle1!$A$2:$L$496,12,0))</f>
        <v/>
      </c>
    </row>
    <row r="169" spans="1:16">
      <c r="A169" s="67"/>
      <c r="B169" s="55"/>
      <c r="C169" s="55"/>
      <c r="D169" s="57" t="str">
        <f>IF(K169="","",VLOOKUP(F169,Tabelle1!$A$2:$C$496,3,0))</f>
        <v/>
      </c>
      <c r="E169" s="57" t="str">
        <f>IF(K169="","",VLOOKUP(F169,Tabelle1!$A$2:$M$496,13,0))</f>
        <v/>
      </c>
      <c r="F169" s="56"/>
      <c r="G169" s="57"/>
      <c r="H169" s="57"/>
      <c r="I169" s="57"/>
      <c r="J169" s="57"/>
      <c r="K169" s="57"/>
      <c r="L169" s="118" t="str">
        <f>IF(K169="","",VLOOKUP(F169,Tabelle1!$A$2:$I$496,9,0))</f>
        <v/>
      </c>
      <c r="M169" s="57" t="str">
        <f>IF(K169="","",VLOOKUP(F169,Tabelle1!$A$2:$G$496,7,0))</f>
        <v/>
      </c>
      <c r="N169" s="66" t="str">
        <f t="shared" si="5"/>
        <v/>
      </c>
      <c r="O169" s="66" t="str">
        <f>IF(K169="","",((K169*VLOOKUP(F169,Tabelle1!$A$2:$I$496,8,0))/$W$4))</f>
        <v/>
      </c>
      <c r="P169" s="76" t="str">
        <f>IF(K169="","",VLOOKUP(F169,Tabelle1!$A$2:$L$496,12,0))</f>
        <v/>
      </c>
    </row>
    <row r="170" spans="1:16">
      <c r="A170" s="67"/>
      <c r="B170" s="55"/>
      <c r="C170" s="55"/>
      <c r="D170" s="57" t="str">
        <f>IF(K170="","",VLOOKUP(F170,Tabelle1!$A$2:$C$496,3,0))</f>
        <v/>
      </c>
      <c r="E170" s="57" t="str">
        <f>IF(K170="","",VLOOKUP(F170,Tabelle1!$A$2:$M$496,13,0))</f>
        <v/>
      </c>
      <c r="F170" s="56"/>
      <c r="G170" s="57"/>
      <c r="H170" s="57"/>
      <c r="I170" s="57"/>
      <c r="J170" s="57"/>
      <c r="K170" s="57"/>
      <c r="L170" s="118" t="str">
        <f>IF(K170="","",VLOOKUP(F170,Tabelle1!$A$2:$I$496,9,0))</f>
        <v/>
      </c>
      <c r="M170" s="57" t="str">
        <f>IF(K170="","",VLOOKUP(F170,Tabelle1!$A$2:$G$496,7,0))</f>
        <v/>
      </c>
      <c r="N170" s="66" t="str">
        <f t="shared" si="5"/>
        <v/>
      </c>
      <c r="O170" s="66" t="str">
        <f>IF(K170="","",((K170*VLOOKUP(F170,Tabelle1!$A$2:$I$496,8,0))/$W$4))</f>
        <v/>
      </c>
      <c r="P170" s="76" t="str">
        <f>IF(K170="","",VLOOKUP(F170,Tabelle1!$A$2:$L$496,12,0))</f>
        <v/>
      </c>
    </row>
    <row r="171" spans="1:16">
      <c r="A171" s="67"/>
      <c r="B171" s="55"/>
      <c r="C171" s="55"/>
      <c r="D171" s="57" t="str">
        <f>IF(K171="","",VLOOKUP(F171,Tabelle1!$A$2:$C$496,3,0))</f>
        <v/>
      </c>
      <c r="E171" s="57" t="str">
        <f>IF(K171="","",VLOOKUP(F171,Tabelle1!$A$2:$M$496,13,0))</f>
        <v/>
      </c>
      <c r="F171" s="56"/>
      <c r="G171" s="57"/>
      <c r="H171" s="57"/>
      <c r="I171" s="57"/>
      <c r="J171" s="57"/>
      <c r="K171" s="57"/>
      <c r="L171" s="118" t="str">
        <f>IF(K171="","",VLOOKUP(F171,Tabelle1!$A$2:$I$496,9,0))</f>
        <v/>
      </c>
      <c r="M171" s="57" t="str">
        <f>IF(K171="","",VLOOKUP(F171,Tabelle1!$A$2:$G$496,7,0))</f>
        <v/>
      </c>
      <c r="N171" s="66" t="str">
        <f t="shared" si="5"/>
        <v/>
      </c>
      <c r="O171" s="66" t="str">
        <f>IF(K171="","",((K171*VLOOKUP(F171,Tabelle1!$A$2:$I$496,8,0))/$W$4))</f>
        <v/>
      </c>
      <c r="P171" s="76" t="str">
        <f>IF(K171="","",VLOOKUP(F171,Tabelle1!$A$2:$L$496,12,0))</f>
        <v/>
      </c>
    </row>
    <row r="172" spans="1:16">
      <c r="A172" s="67"/>
      <c r="B172" s="55"/>
      <c r="C172" s="55"/>
      <c r="D172" s="57" t="str">
        <f>IF(K172="","",VLOOKUP(F172,Tabelle1!$A$2:$C$496,3,0))</f>
        <v/>
      </c>
      <c r="E172" s="57" t="str">
        <f>IF(K172="","",VLOOKUP(F172,Tabelle1!$A$2:$M$496,13,0))</f>
        <v/>
      </c>
      <c r="F172" s="56"/>
      <c r="G172" s="57"/>
      <c r="H172" s="57"/>
      <c r="I172" s="57"/>
      <c r="J172" s="57"/>
      <c r="K172" s="57"/>
      <c r="L172" s="118" t="str">
        <f>IF(K172="","",VLOOKUP(F172,Tabelle1!$A$2:$I$496,9,0))</f>
        <v/>
      </c>
      <c r="M172" s="57" t="str">
        <f>IF(K172="","",VLOOKUP(F172,Tabelle1!$A$2:$G$496,7,0))</f>
        <v/>
      </c>
      <c r="N172" s="66" t="str">
        <f t="shared" si="5"/>
        <v/>
      </c>
      <c r="O172" s="66" t="str">
        <f>IF(K172="","",((K172*VLOOKUP(F172,Tabelle1!$A$2:$I$496,8,0))/$W$4))</f>
        <v/>
      </c>
      <c r="P172" s="76" t="str">
        <f>IF(K172="","",VLOOKUP(F172,Tabelle1!$A$2:$L$496,12,0))</f>
        <v/>
      </c>
    </row>
    <row r="173" spans="1:16">
      <c r="A173" s="67"/>
      <c r="B173" s="55"/>
      <c r="C173" s="55"/>
      <c r="D173" s="57" t="str">
        <f>IF(K173="","",VLOOKUP(F173,Tabelle1!$A$2:$C$496,3,0))</f>
        <v/>
      </c>
      <c r="E173" s="57" t="str">
        <f>IF(K173="","",VLOOKUP(F173,Tabelle1!$A$2:$M$496,13,0))</f>
        <v/>
      </c>
      <c r="F173" s="56"/>
      <c r="G173" s="57"/>
      <c r="H173" s="57"/>
      <c r="I173" s="57"/>
      <c r="J173" s="57"/>
      <c r="K173" s="57"/>
      <c r="L173" s="118" t="str">
        <f>IF(K173="","",VLOOKUP(F173,Tabelle1!$A$2:$I$496,9,0))</f>
        <v/>
      </c>
      <c r="M173" s="57" t="str">
        <f>IF(K173="","",VLOOKUP(F173,Tabelle1!$A$2:$G$496,7,0))</f>
        <v/>
      </c>
      <c r="N173" s="66" t="str">
        <f t="shared" si="5"/>
        <v/>
      </c>
      <c r="O173" s="66" t="str">
        <f>IF(K173="","",((K173*VLOOKUP(F173,Tabelle1!$A$2:$I$496,8,0))/$W$4))</f>
        <v/>
      </c>
      <c r="P173" s="76" t="str">
        <f>IF(K173="","",VLOOKUP(F173,Tabelle1!$A$2:$L$496,12,0))</f>
        <v/>
      </c>
    </row>
    <row r="174" spans="1:16">
      <c r="A174" s="67"/>
      <c r="B174" s="55"/>
      <c r="C174" s="55"/>
      <c r="D174" s="57" t="str">
        <f>IF(K174="","",VLOOKUP(F174,Tabelle1!$A$2:$C$496,3,0))</f>
        <v/>
      </c>
      <c r="E174" s="57" t="str">
        <f>IF(K174="","",VLOOKUP(F174,Tabelle1!$A$2:$M$496,13,0))</f>
        <v/>
      </c>
      <c r="F174" s="56"/>
      <c r="G174" s="57"/>
      <c r="H174" s="57"/>
      <c r="I174" s="57"/>
      <c r="J174" s="57"/>
      <c r="K174" s="57"/>
      <c r="L174" s="118" t="str">
        <f>IF(K174="","",VLOOKUP(F174,Tabelle1!$A$2:$I$496,9,0))</f>
        <v/>
      </c>
      <c r="M174" s="57" t="str">
        <f>IF(K174="","",VLOOKUP(F174,Tabelle1!$A$2:$G$496,7,0))</f>
        <v/>
      </c>
      <c r="N174" s="66" t="str">
        <f t="shared" si="5"/>
        <v/>
      </c>
      <c r="O174" s="66" t="str">
        <f>IF(K174="","",((K174*VLOOKUP(F174,Tabelle1!$A$2:$I$496,8,0))/$W$4))</f>
        <v/>
      </c>
      <c r="P174" s="76" t="str">
        <f>IF(K174="","",VLOOKUP(F174,Tabelle1!$A$2:$L$496,12,0))</f>
        <v/>
      </c>
    </row>
    <row r="175" spans="1:16">
      <c r="A175" s="67"/>
      <c r="B175" s="55"/>
      <c r="C175" s="55"/>
      <c r="D175" s="57" t="str">
        <f>IF(K175="","",VLOOKUP(F175,Tabelle1!$A$2:$C$496,3,0))</f>
        <v/>
      </c>
      <c r="E175" s="57" t="str">
        <f>IF(K175="","",VLOOKUP(F175,Tabelle1!$A$2:$M$496,13,0))</f>
        <v/>
      </c>
      <c r="F175" s="56"/>
      <c r="G175" s="57"/>
      <c r="H175" s="57"/>
      <c r="I175" s="57"/>
      <c r="J175" s="57"/>
      <c r="K175" s="57"/>
      <c r="L175" s="118" t="str">
        <f>IF(K175="","",VLOOKUP(F175,Tabelle1!$A$2:$I$496,9,0))</f>
        <v/>
      </c>
      <c r="M175" s="57" t="str">
        <f>IF(K175="","",VLOOKUP(F175,Tabelle1!$A$2:$G$496,7,0))</f>
        <v/>
      </c>
      <c r="N175" s="66" t="str">
        <f t="shared" si="5"/>
        <v/>
      </c>
      <c r="O175" s="66" t="str">
        <f>IF(K175="","",((K175*VLOOKUP(F175,Tabelle1!$A$2:$I$496,8,0))/$W$4))</f>
        <v/>
      </c>
      <c r="P175" s="76" t="str">
        <f>IF(K175="","",VLOOKUP(F175,Tabelle1!$A$2:$L$496,12,0))</f>
        <v/>
      </c>
    </row>
    <row r="176" spans="1:16">
      <c r="A176" s="67"/>
      <c r="B176" s="55"/>
      <c r="C176" s="55"/>
      <c r="D176" s="57" t="str">
        <f>IF(K176="","",VLOOKUP(F176,Tabelle1!$A$2:$C$496,3,0))</f>
        <v/>
      </c>
      <c r="E176" s="57" t="str">
        <f>IF(K176="","",VLOOKUP(F176,Tabelle1!$A$2:$M$496,13,0))</f>
        <v/>
      </c>
      <c r="F176" s="56"/>
      <c r="G176" s="57"/>
      <c r="H176" s="57"/>
      <c r="I176" s="57"/>
      <c r="J176" s="57"/>
      <c r="K176" s="57"/>
      <c r="L176" s="118" t="str">
        <f>IF(K176="","",VLOOKUP(F176,Tabelle1!$A$2:$I$496,9,0))</f>
        <v/>
      </c>
      <c r="M176" s="57" t="str">
        <f>IF(K176="","",VLOOKUP(F176,Tabelle1!$A$2:$G$496,7,0))</f>
        <v/>
      </c>
      <c r="N176" s="66" t="str">
        <f t="shared" si="5"/>
        <v/>
      </c>
      <c r="O176" s="66" t="str">
        <f>IF(K176="","",((K176*VLOOKUP(F176,Tabelle1!$A$2:$I$496,8,0))/$W$4))</f>
        <v/>
      </c>
      <c r="P176" s="76" t="str">
        <f>IF(K176="","",VLOOKUP(F176,Tabelle1!$A$2:$L$496,12,0))</f>
        <v/>
      </c>
    </row>
    <row r="177" spans="1:16">
      <c r="A177" s="67"/>
      <c r="B177" s="55"/>
      <c r="C177" s="55"/>
      <c r="D177" s="57" t="str">
        <f>IF(K177="","",VLOOKUP(F177,Tabelle1!$A$2:$C$496,3,0))</f>
        <v/>
      </c>
      <c r="E177" s="57" t="str">
        <f>IF(K177="","",VLOOKUP(F177,Tabelle1!$A$2:$M$496,13,0))</f>
        <v/>
      </c>
      <c r="F177" s="56"/>
      <c r="G177" s="57"/>
      <c r="H177" s="57"/>
      <c r="I177" s="57"/>
      <c r="J177" s="57"/>
      <c r="K177" s="57"/>
      <c r="L177" s="118" t="str">
        <f>IF(K177="","",VLOOKUP(F177,Tabelle1!$A$2:$I$496,9,0))</f>
        <v/>
      </c>
      <c r="M177" s="57" t="str">
        <f>IF(K177="","",VLOOKUP(F177,Tabelle1!$A$2:$G$496,7,0))</f>
        <v/>
      </c>
      <c r="N177" s="66" t="str">
        <f t="shared" si="5"/>
        <v/>
      </c>
      <c r="O177" s="66" t="str">
        <f>IF(K177="","",((K177*VLOOKUP(F177,Tabelle1!$A$2:$I$496,8,0))/$W$4))</f>
        <v/>
      </c>
      <c r="P177" s="76" t="str">
        <f>IF(K177="","",VLOOKUP(F177,Tabelle1!$A$2:$L$496,12,0))</f>
        <v/>
      </c>
    </row>
    <row r="178" spans="1:16">
      <c r="A178" s="67"/>
      <c r="B178" s="55"/>
      <c r="C178" s="55"/>
      <c r="D178" s="57" t="str">
        <f>IF(K178="","",VLOOKUP(F178,Tabelle1!$A$2:$C$496,3,0))</f>
        <v/>
      </c>
      <c r="E178" s="57" t="str">
        <f>IF(K178="","",VLOOKUP(F178,Tabelle1!$A$2:$M$496,13,0))</f>
        <v/>
      </c>
      <c r="F178" s="56"/>
      <c r="G178" s="57"/>
      <c r="H178" s="57"/>
      <c r="I178" s="57"/>
      <c r="J178" s="57"/>
      <c r="K178" s="57"/>
      <c r="L178" s="118" t="str">
        <f>IF(K178="","",VLOOKUP(F178,Tabelle1!$A$2:$I$496,9,0))</f>
        <v/>
      </c>
      <c r="M178" s="57" t="str">
        <f>IF(K178="","",VLOOKUP(F178,Tabelle1!$A$2:$G$496,7,0))</f>
        <v/>
      </c>
      <c r="N178" s="66" t="str">
        <f t="shared" si="5"/>
        <v/>
      </c>
      <c r="O178" s="66" t="str">
        <f>IF(K178="","",((K178*VLOOKUP(F178,Tabelle1!$A$2:$I$496,8,0))/$W$4))</f>
        <v/>
      </c>
      <c r="P178" s="76" t="str">
        <f>IF(K178="","",VLOOKUP(F178,Tabelle1!$A$2:$L$496,12,0))</f>
        <v/>
      </c>
    </row>
    <row r="179" spans="1:16">
      <c r="A179" s="67"/>
      <c r="B179" s="55"/>
      <c r="C179" s="55"/>
      <c r="D179" s="57" t="str">
        <f>IF(K179="","",VLOOKUP(F179,Tabelle1!$A$2:$C$496,3,0))</f>
        <v/>
      </c>
      <c r="E179" s="57" t="str">
        <f>IF(K179="","",VLOOKUP(F179,Tabelle1!$A$2:$M$496,13,0))</f>
        <v/>
      </c>
      <c r="F179" s="56"/>
      <c r="G179" s="57"/>
      <c r="H179" s="57"/>
      <c r="I179" s="57"/>
      <c r="J179" s="57"/>
      <c r="K179" s="57"/>
      <c r="L179" s="118" t="str">
        <f>IF(K179="","",VLOOKUP(F179,Tabelle1!$A$2:$I$496,9,0))</f>
        <v/>
      </c>
      <c r="M179" s="57" t="str">
        <f>IF(K179="","",VLOOKUP(F179,Tabelle1!$A$2:$G$496,7,0))</f>
        <v/>
      </c>
      <c r="N179" s="66" t="str">
        <f t="shared" si="5"/>
        <v/>
      </c>
      <c r="O179" s="66" t="str">
        <f>IF(K179="","",((K179*VLOOKUP(F179,Tabelle1!$A$2:$I$496,8,0))/$W$4))</f>
        <v/>
      </c>
      <c r="P179" s="76" t="str">
        <f>IF(K179="","",VLOOKUP(F179,Tabelle1!$A$2:$L$496,12,0))</f>
        <v/>
      </c>
    </row>
    <row r="180" spans="1:16">
      <c r="A180" s="67"/>
      <c r="B180" s="55"/>
      <c r="C180" s="55"/>
      <c r="D180" s="57" t="str">
        <f>IF(K180="","",VLOOKUP(F180,Tabelle1!$A$2:$C$496,3,0))</f>
        <v/>
      </c>
      <c r="E180" s="57" t="str">
        <f>IF(K180="","",VLOOKUP(F180,Tabelle1!$A$2:$M$496,13,0))</f>
        <v/>
      </c>
      <c r="F180" s="56"/>
      <c r="G180" s="57"/>
      <c r="H180" s="57"/>
      <c r="I180" s="57"/>
      <c r="J180" s="57"/>
      <c r="K180" s="57"/>
      <c r="L180" s="118" t="str">
        <f>IF(K180="","",VLOOKUP(F180,Tabelle1!$A$2:$I$496,9,0))</f>
        <v/>
      </c>
      <c r="M180" s="57" t="str">
        <f>IF(K180="","",VLOOKUP(F180,Tabelle1!$A$2:$G$496,7,0))</f>
        <v/>
      </c>
      <c r="N180" s="66" t="str">
        <f t="shared" si="5"/>
        <v/>
      </c>
      <c r="O180" s="66" t="str">
        <f>IF(K180="","",((K180*VLOOKUP(F180,Tabelle1!$A$2:$I$496,8,0))/$W$4))</f>
        <v/>
      </c>
      <c r="P180" s="76" t="str">
        <f>IF(K180="","",VLOOKUP(F180,Tabelle1!$A$2:$L$496,12,0))</f>
        <v/>
      </c>
    </row>
    <row r="181" spans="1:16">
      <c r="A181" s="67"/>
      <c r="B181" s="55"/>
      <c r="C181" s="55"/>
      <c r="D181" s="57" t="str">
        <f>IF(K181="","",VLOOKUP(F181,Tabelle1!$A$2:$C$496,3,0))</f>
        <v/>
      </c>
      <c r="E181" s="57" t="str">
        <f>IF(K181="","",VLOOKUP(F181,Tabelle1!$A$2:$M$496,13,0))</f>
        <v/>
      </c>
      <c r="F181" s="56"/>
      <c r="G181" s="57"/>
      <c r="H181" s="57"/>
      <c r="I181" s="57"/>
      <c r="J181" s="57"/>
      <c r="K181" s="57"/>
      <c r="L181" s="118" t="str">
        <f>IF(K181="","",VLOOKUP(F181,Tabelle1!$A$2:$I$496,9,0))</f>
        <v/>
      </c>
      <c r="M181" s="57" t="str">
        <f>IF(K181="","",VLOOKUP(F181,Tabelle1!$A$2:$G$496,7,0))</f>
        <v/>
      </c>
      <c r="N181" s="66" t="str">
        <f t="shared" si="5"/>
        <v/>
      </c>
      <c r="O181" s="66" t="str">
        <f>IF(K181="","",((K181*VLOOKUP(F181,Tabelle1!$A$2:$I$496,8,0))/$W$4))</f>
        <v/>
      </c>
      <c r="P181" s="76" t="str">
        <f>IF(K181="","",VLOOKUP(F181,Tabelle1!$A$2:$L$496,12,0))</f>
        <v/>
      </c>
    </row>
    <row r="182" spans="1:16">
      <c r="A182" s="67"/>
      <c r="B182" s="55"/>
      <c r="C182" s="55"/>
      <c r="D182" s="57" t="str">
        <f>IF(K182="","",VLOOKUP(F182,Tabelle1!$A$2:$C$496,3,0))</f>
        <v/>
      </c>
      <c r="E182" s="57" t="str">
        <f>IF(K182="","",VLOOKUP(F182,Tabelle1!$A$2:$M$496,13,0))</f>
        <v/>
      </c>
      <c r="F182" s="56"/>
      <c r="G182" s="57"/>
      <c r="H182" s="57"/>
      <c r="I182" s="57"/>
      <c r="J182" s="57"/>
      <c r="K182" s="57"/>
      <c r="L182" s="118" t="str">
        <f>IF(K182="","",VLOOKUP(F182,Tabelle1!$A$2:$I$496,9,0))</f>
        <v/>
      </c>
      <c r="M182" s="57" t="str">
        <f>IF(K182="","",VLOOKUP(F182,Tabelle1!$A$2:$G$496,7,0))</f>
        <v/>
      </c>
      <c r="N182" s="66" t="str">
        <f t="shared" si="5"/>
        <v/>
      </c>
      <c r="O182" s="66" t="str">
        <f>IF(K182="","",((K182*VLOOKUP(F182,Tabelle1!$A$2:$I$496,8,0))/$W$4))</f>
        <v/>
      </c>
      <c r="P182" s="76" t="str">
        <f>IF(K182="","",VLOOKUP(F182,Tabelle1!$A$2:$L$496,12,0))</f>
        <v/>
      </c>
    </row>
    <row r="183" spans="1:16">
      <c r="A183" s="67"/>
      <c r="B183" s="55"/>
      <c r="C183" s="55"/>
      <c r="D183" s="57" t="str">
        <f>IF(K183="","",VLOOKUP(F183,Tabelle1!$A$2:$C$496,3,0))</f>
        <v/>
      </c>
      <c r="E183" s="57" t="str">
        <f>IF(K183="","",VLOOKUP(F183,Tabelle1!$A$2:$M$496,13,0))</f>
        <v/>
      </c>
      <c r="F183" s="56"/>
      <c r="G183" s="57"/>
      <c r="H183" s="57"/>
      <c r="I183" s="57"/>
      <c r="J183" s="57"/>
      <c r="K183" s="57"/>
      <c r="L183" s="118" t="str">
        <f>IF(K183="","",VLOOKUP(F183,Tabelle1!$A$2:$I$496,9,0))</f>
        <v/>
      </c>
      <c r="M183" s="57" t="str">
        <f>IF(K183="","",VLOOKUP(F183,Tabelle1!$A$2:$G$496,7,0))</f>
        <v/>
      </c>
      <c r="N183" s="66" t="str">
        <f t="shared" si="5"/>
        <v/>
      </c>
      <c r="O183" s="66" t="str">
        <f>IF(K183="","",((K183*VLOOKUP(F183,Tabelle1!$A$2:$I$496,8,0))/$W$4))</f>
        <v/>
      </c>
      <c r="P183" s="76" t="str">
        <f>IF(K183="","",VLOOKUP(F183,Tabelle1!$A$2:$L$496,12,0))</f>
        <v/>
      </c>
    </row>
    <row r="184" spans="1:16">
      <c r="A184" s="67"/>
      <c r="B184" s="55"/>
      <c r="C184" s="55"/>
      <c r="D184" s="57" t="str">
        <f>IF(K184="","",VLOOKUP(F184,Tabelle1!$A$2:$C$496,3,0))</f>
        <v/>
      </c>
      <c r="E184" s="57" t="str">
        <f>IF(K184="","",VLOOKUP(F184,Tabelle1!$A$2:$M$496,13,0))</f>
        <v/>
      </c>
      <c r="F184" s="56"/>
      <c r="G184" s="57"/>
      <c r="H184" s="57"/>
      <c r="I184" s="57"/>
      <c r="J184" s="57"/>
      <c r="K184" s="57"/>
      <c r="L184" s="118" t="str">
        <f>IF(K184="","",VLOOKUP(F184,Tabelle1!$A$2:$I$496,9,0))</f>
        <v/>
      </c>
      <c r="M184" s="57" t="str">
        <f>IF(K184="","",VLOOKUP(F184,Tabelle1!$A$2:$G$496,7,0))</f>
        <v/>
      </c>
      <c r="N184" s="66" t="str">
        <f t="shared" si="5"/>
        <v/>
      </c>
      <c r="O184" s="66" t="str">
        <f>IF(K184="","",((K184*VLOOKUP(F184,Tabelle1!$A$2:$I$496,8,0))/$W$4))</f>
        <v/>
      </c>
      <c r="P184" s="76" t="str">
        <f>IF(K184="","",VLOOKUP(F184,Tabelle1!$A$2:$L$496,12,0))</f>
        <v/>
      </c>
    </row>
    <row r="185" spans="1:16">
      <c r="A185" s="67"/>
      <c r="B185" s="55"/>
      <c r="C185" s="55"/>
      <c r="D185" s="57" t="str">
        <f>IF(K185="","",VLOOKUP(F185,Tabelle1!$A$2:$C$496,3,0))</f>
        <v/>
      </c>
      <c r="E185" s="57" t="str">
        <f>IF(K185="","",VLOOKUP(F185,Tabelle1!$A$2:$M$496,13,0))</f>
        <v/>
      </c>
      <c r="F185" s="56"/>
      <c r="G185" s="57"/>
      <c r="H185" s="57"/>
      <c r="I185" s="57"/>
      <c r="J185" s="57"/>
      <c r="K185" s="57"/>
      <c r="L185" s="118" t="str">
        <f>IF(K185="","",VLOOKUP(F185,Tabelle1!$A$2:$I$496,9,0))</f>
        <v/>
      </c>
      <c r="M185" s="57" t="str">
        <f>IF(K185="","",VLOOKUP(F185,Tabelle1!$A$2:$G$496,7,0))</f>
        <v/>
      </c>
      <c r="N185" s="66" t="str">
        <f t="shared" si="5"/>
        <v/>
      </c>
      <c r="O185" s="66" t="str">
        <f>IF(K185="","",((K185*VLOOKUP(F185,Tabelle1!$A$2:$I$496,8,0))/$W$4))</f>
        <v/>
      </c>
      <c r="P185" s="76" t="str">
        <f>IF(K185="","",VLOOKUP(F185,Tabelle1!$A$2:$L$496,12,0))</f>
        <v/>
      </c>
    </row>
    <row r="186" spans="1:16">
      <c r="A186" s="67"/>
      <c r="B186" s="55"/>
      <c r="C186" s="55"/>
      <c r="D186" s="57" t="str">
        <f>IF(K186="","",VLOOKUP(F186,Tabelle1!$A$2:$C$496,3,0))</f>
        <v/>
      </c>
      <c r="E186" s="57" t="str">
        <f>IF(K186="","",VLOOKUP(F186,Tabelle1!$A$2:$M$496,13,0))</f>
        <v/>
      </c>
      <c r="F186" s="56"/>
      <c r="G186" s="57"/>
      <c r="H186" s="57"/>
      <c r="I186" s="57"/>
      <c r="J186" s="57"/>
      <c r="K186" s="57"/>
      <c r="L186" s="118" t="str">
        <f>IF(K186="","",VLOOKUP(F186,Tabelle1!$A$2:$I$496,9,0))</f>
        <v/>
      </c>
      <c r="M186" s="57" t="str">
        <f>IF(K186="","",VLOOKUP(F186,Tabelle1!$A$2:$G$496,7,0))</f>
        <v/>
      </c>
      <c r="N186" s="66" t="str">
        <f t="shared" si="5"/>
        <v/>
      </c>
      <c r="O186" s="66" t="str">
        <f>IF(K186="","",((K186*VLOOKUP(F186,Tabelle1!$A$2:$I$496,8,0))/$W$4))</f>
        <v/>
      </c>
      <c r="P186" s="76" t="str">
        <f>IF(K186="","",VLOOKUP(F186,Tabelle1!$A$2:$L$496,12,0))</f>
        <v/>
      </c>
    </row>
    <row r="187" spans="1:16">
      <c r="A187" s="67"/>
      <c r="B187" s="55"/>
      <c r="C187" s="55"/>
      <c r="D187" s="57" t="str">
        <f>IF(K187="","",VLOOKUP(F187,Tabelle1!$A$2:$C$496,3,0))</f>
        <v/>
      </c>
      <c r="E187" s="57" t="str">
        <f>IF(K187="","",VLOOKUP(F187,Tabelle1!$A$2:$M$496,13,0))</f>
        <v/>
      </c>
      <c r="F187" s="56"/>
      <c r="G187" s="57"/>
      <c r="H187" s="57"/>
      <c r="I187" s="57"/>
      <c r="J187" s="57"/>
      <c r="K187" s="57"/>
      <c r="L187" s="118" t="str">
        <f>IF(K187="","",VLOOKUP(F187,Tabelle1!$A$2:$I$496,9,0))</f>
        <v/>
      </c>
      <c r="M187" s="57" t="str">
        <f>IF(K187="","",VLOOKUP(F187,Tabelle1!$A$2:$G$496,7,0))</f>
        <v/>
      </c>
      <c r="N187" s="66" t="str">
        <f t="shared" si="5"/>
        <v/>
      </c>
      <c r="O187" s="66" t="str">
        <f>IF(K187="","",((K187*VLOOKUP(F187,Tabelle1!$A$2:$I$496,8,0))/$W$4))</f>
        <v/>
      </c>
      <c r="P187" s="76" t="str">
        <f>IF(K187="","",VLOOKUP(F187,Tabelle1!$A$2:$L$496,12,0))</f>
        <v/>
      </c>
    </row>
    <row r="188" spans="1:16">
      <c r="A188" s="67"/>
      <c r="B188" s="55"/>
      <c r="C188" s="55"/>
      <c r="D188" s="57" t="str">
        <f>IF(K188="","",VLOOKUP(F188,Tabelle1!$A$2:$C$496,3,0))</f>
        <v/>
      </c>
      <c r="E188" s="57" t="str">
        <f>IF(K188="","",VLOOKUP(F188,Tabelle1!$A$2:$M$496,13,0))</f>
        <v/>
      </c>
      <c r="F188" s="56"/>
      <c r="G188" s="57"/>
      <c r="H188" s="57"/>
      <c r="I188" s="57"/>
      <c r="J188" s="57"/>
      <c r="K188" s="57"/>
      <c r="L188" s="118" t="str">
        <f>IF(K188="","",VLOOKUP(F188,Tabelle1!$A$2:$I$496,9,0))</f>
        <v/>
      </c>
      <c r="M188" s="57" t="str">
        <f>IF(K188="","",VLOOKUP(F188,Tabelle1!$A$2:$G$496,7,0))</f>
        <v/>
      </c>
      <c r="N188" s="66" t="str">
        <f t="shared" si="5"/>
        <v/>
      </c>
      <c r="O188" s="66" t="str">
        <f>IF(K188="","",((K188*VLOOKUP(F188,Tabelle1!$A$2:$I$496,8,0))/$W$4))</f>
        <v/>
      </c>
      <c r="P188" s="76" t="str">
        <f>IF(K188="","",VLOOKUP(F188,Tabelle1!$A$2:$L$496,12,0))</f>
        <v/>
      </c>
    </row>
    <row r="189" spans="1:16">
      <c r="A189" s="67"/>
      <c r="B189" s="55"/>
      <c r="C189" s="55"/>
      <c r="D189" s="57" t="str">
        <f>IF(K189="","",VLOOKUP(F189,Tabelle1!$A$2:$C$496,3,0))</f>
        <v/>
      </c>
      <c r="E189" s="57" t="str">
        <f>IF(K189="","",VLOOKUP(F189,Tabelle1!$A$2:$M$496,13,0))</f>
        <v/>
      </c>
      <c r="F189" s="56"/>
      <c r="G189" s="57"/>
      <c r="H189" s="57"/>
      <c r="I189" s="57"/>
      <c r="J189" s="57"/>
      <c r="K189" s="57"/>
      <c r="L189" s="118" t="str">
        <f>IF(K189="","",VLOOKUP(F189,Tabelle1!$A$2:$I$496,9,0))</f>
        <v/>
      </c>
      <c r="M189" s="57" t="str">
        <f>IF(K189="","",VLOOKUP(F189,Tabelle1!$A$2:$G$496,7,0))</f>
        <v/>
      </c>
      <c r="N189" s="66" t="str">
        <f t="shared" si="5"/>
        <v/>
      </c>
      <c r="O189" s="66" t="str">
        <f>IF(K189="","",((K189*VLOOKUP(F189,Tabelle1!$A$2:$I$496,8,0))/$W$4))</f>
        <v/>
      </c>
      <c r="P189" s="76" t="str">
        <f>IF(K189="","",VLOOKUP(F189,Tabelle1!$A$2:$L$496,12,0))</f>
        <v/>
      </c>
    </row>
    <row r="190" spans="1:16">
      <c r="A190" s="67"/>
      <c r="B190" s="55"/>
      <c r="C190" s="55"/>
      <c r="D190" s="57" t="str">
        <f>IF(K190="","",VLOOKUP(F190,Tabelle1!$A$2:$C$496,3,0))</f>
        <v/>
      </c>
      <c r="E190" s="57" t="str">
        <f>IF(K190="","",VLOOKUP(F190,Tabelle1!$A$2:$M$496,13,0))</f>
        <v/>
      </c>
      <c r="F190" s="56"/>
      <c r="G190" s="57"/>
      <c r="H190" s="57"/>
      <c r="I190" s="57"/>
      <c r="J190" s="57"/>
      <c r="K190" s="57"/>
      <c r="L190" s="118" t="str">
        <f>IF(K190="","",VLOOKUP(F190,Tabelle1!$A$2:$I$496,9,0))</f>
        <v/>
      </c>
      <c r="M190" s="57" t="str">
        <f>IF(K190="","",VLOOKUP(F190,Tabelle1!$A$2:$G$496,7,0))</f>
        <v/>
      </c>
      <c r="N190" s="66" t="str">
        <f t="shared" si="5"/>
        <v/>
      </c>
      <c r="O190" s="66" t="str">
        <f>IF(K190="","",((K190*VLOOKUP(F190,Tabelle1!$A$2:$I$496,8,0))/$W$4))</f>
        <v/>
      </c>
      <c r="P190" s="76" t="str">
        <f>IF(K190="","",VLOOKUP(F190,Tabelle1!$A$2:$L$496,12,0))</f>
        <v/>
      </c>
    </row>
    <row r="191" spans="1:16">
      <c r="A191" s="67"/>
      <c r="B191" s="55"/>
      <c r="C191" s="55"/>
      <c r="D191" s="57" t="str">
        <f>IF(K191="","",VLOOKUP(F191,Tabelle1!$A$2:$C$496,3,0))</f>
        <v/>
      </c>
      <c r="E191" s="57" t="str">
        <f>IF(K191="","",VLOOKUP(F191,Tabelle1!$A$2:$M$496,13,0))</f>
        <v/>
      </c>
      <c r="F191" s="56"/>
      <c r="G191" s="57"/>
      <c r="H191" s="57"/>
      <c r="I191" s="57"/>
      <c r="J191" s="57"/>
      <c r="K191" s="57"/>
      <c r="L191" s="118" t="str">
        <f>IF(K191="","",VLOOKUP(F191,Tabelle1!$A$2:$I$496,9,0))</f>
        <v/>
      </c>
      <c r="M191" s="57" t="str">
        <f>IF(K191="","",VLOOKUP(F191,Tabelle1!$A$2:$G$496,7,0))</f>
        <v/>
      </c>
      <c r="N191" s="66" t="str">
        <f t="shared" si="5"/>
        <v/>
      </c>
      <c r="O191" s="66" t="str">
        <f>IF(K191="","",((K191*VLOOKUP(F191,Tabelle1!$A$2:$I$496,8,0))/$W$4))</f>
        <v/>
      </c>
      <c r="P191" s="76" t="str">
        <f>IF(K191="","",VLOOKUP(F191,Tabelle1!$A$2:$L$496,12,0))</f>
        <v/>
      </c>
    </row>
    <row r="192" spans="1:16">
      <c r="A192" s="67"/>
      <c r="B192" s="55"/>
      <c r="C192" s="55"/>
      <c r="D192" s="57" t="str">
        <f>IF(K192="","",VLOOKUP(F192,Tabelle1!$A$2:$C$496,3,0))</f>
        <v/>
      </c>
      <c r="E192" s="57" t="str">
        <f>IF(K192="","",VLOOKUP(F192,Tabelle1!$A$2:$M$496,13,0))</f>
        <v/>
      </c>
      <c r="F192" s="56"/>
      <c r="G192" s="57"/>
      <c r="H192" s="57"/>
      <c r="I192" s="57"/>
      <c r="J192" s="57"/>
      <c r="K192" s="57"/>
      <c r="L192" s="118" t="str">
        <f>IF(K192="","",VLOOKUP(F192,Tabelle1!$A$2:$I$496,9,0))</f>
        <v/>
      </c>
      <c r="M192" s="57" t="str">
        <f>IF(K192="","",VLOOKUP(F192,Tabelle1!$A$2:$G$496,7,0))</f>
        <v/>
      </c>
      <c r="N192" s="66" t="str">
        <f t="shared" si="5"/>
        <v/>
      </c>
      <c r="O192" s="66" t="str">
        <f>IF(K192="","",((K192*VLOOKUP(F192,Tabelle1!$A$2:$I$496,8,0))/$W$4))</f>
        <v/>
      </c>
      <c r="P192" s="76" t="str">
        <f>IF(K192="","",VLOOKUP(F192,Tabelle1!$A$2:$L$496,12,0))</f>
        <v/>
      </c>
    </row>
    <row r="193" spans="1:16">
      <c r="A193" s="67"/>
      <c r="B193" s="55"/>
      <c r="C193" s="55"/>
      <c r="D193" s="57" t="str">
        <f>IF(K193="","",VLOOKUP(F193,Tabelle1!$A$2:$C$496,3,0))</f>
        <v/>
      </c>
      <c r="E193" s="57" t="str">
        <f>IF(K193="","",VLOOKUP(F193,Tabelle1!$A$2:$M$496,13,0))</f>
        <v/>
      </c>
      <c r="F193" s="56"/>
      <c r="G193" s="57"/>
      <c r="H193" s="57"/>
      <c r="I193" s="57"/>
      <c r="J193" s="57"/>
      <c r="K193" s="57"/>
      <c r="L193" s="118" t="str">
        <f>IF(K193="","",VLOOKUP(F193,Tabelle1!$A$2:$I$496,9,0))</f>
        <v/>
      </c>
      <c r="M193" s="57" t="str">
        <f>IF(K193="","",VLOOKUP(F193,Tabelle1!$A$2:$G$496,7,0))</f>
        <v/>
      </c>
      <c r="N193" s="66" t="str">
        <f t="shared" si="5"/>
        <v/>
      </c>
      <c r="O193" s="66" t="str">
        <f>IF(K193="","",((K193*VLOOKUP(F193,Tabelle1!$A$2:$I$496,8,0))/$W$4))</f>
        <v/>
      </c>
      <c r="P193" s="76" t="str">
        <f>IF(K193="","",VLOOKUP(F193,Tabelle1!$A$2:$L$496,12,0))</f>
        <v/>
      </c>
    </row>
    <row r="194" spans="1:16">
      <c r="A194" s="67"/>
      <c r="B194" s="55"/>
      <c r="C194" s="55"/>
      <c r="D194" s="57" t="str">
        <f>IF(K194="","",VLOOKUP(F194,Tabelle1!$A$2:$C$496,3,0))</f>
        <v/>
      </c>
      <c r="E194" s="57" t="str">
        <f>IF(K194="","",VLOOKUP(F194,Tabelle1!$A$2:$M$496,13,0))</f>
        <v/>
      </c>
      <c r="F194" s="56"/>
      <c r="G194" s="57"/>
      <c r="H194" s="57"/>
      <c r="I194" s="57"/>
      <c r="J194" s="57"/>
      <c r="K194" s="57"/>
      <c r="L194" s="118" t="str">
        <f>IF(K194="","",VLOOKUP(F194,Tabelle1!$A$2:$I$496,9,0))</f>
        <v/>
      </c>
      <c r="M194" s="57" t="str">
        <f>IF(K194="","",VLOOKUP(F194,Tabelle1!$A$2:$G$496,7,0))</f>
        <v/>
      </c>
      <c r="N194" s="66" t="str">
        <f t="shared" si="5"/>
        <v/>
      </c>
      <c r="O194" s="66" t="str">
        <f>IF(K194="","",((K194*VLOOKUP(F194,Tabelle1!$A$2:$I$496,8,0))/$W$4))</f>
        <v/>
      </c>
      <c r="P194" s="76" t="str">
        <f>IF(K194="","",VLOOKUP(F194,Tabelle1!$A$2:$L$496,12,0))</f>
        <v/>
      </c>
    </row>
    <row r="195" spans="1:16">
      <c r="A195" s="67"/>
      <c r="B195" s="55"/>
      <c r="C195" s="55"/>
      <c r="D195" s="57" t="str">
        <f>IF(K195="","",VLOOKUP(F195,Tabelle1!$A$2:$C$496,3,0))</f>
        <v/>
      </c>
      <c r="E195" s="57" t="str">
        <f>IF(K195="","",VLOOKUP(F195,Tabelle1!$A$2:$M$496,13,0))</f>
        <v/>
      </c>
      <c r="F195" s="56"/>
      <c r="G195" s="57"/>
      <c r="H195" s="57"/>
      <c r="I195" s="57"/>
      <c r="J195" s="57"/>
      <c r="K195" s="57"/>
      <c r="L195" s="118" t="str">
        <f>IF(K195="","",VLOOKUP(F195,Tabelle1!$A$2:$I$496,9,0))</f>
        <v/>
      </c>
      <c r="M195" s="57" t="str">
        <f>IF(K195="","",VLOOKUP(F195,Tabelle1!$A$2:$G$496,7,0))</f>
        <v/>
      </c>
      <c r="N195" s="66" t="str">
        <f t="shared" si="5"/>
        <v/>
      </c>
      <c r="O195" s="66" t="str">
        <f>IF(K195="","",((K195*VLOOKUP(F195,Tabelle1!$A$2:$I$496,8,0))/$W$4))</f>
        <v/>
      </c>
      <c r="P195" s="76" t="str">
        <f>IF(K195="","",VLOOKUP(F195,Tabelle1!$A$2:$L$496,12,0))</f>
        <v/>
      </c>
    </row>
    <row r="196" spans="1:16">
      <c r="A196" s="67"/>
      <c r="B196" s="55"/>
      <c r="C196" s="55"/>
      <c r="D196" s="57" t="str">
        <f>IF(K196="","",VLOOKUP(F196,Tabelle1!$A$2:$C$496,3,0))</f>
        <v/>
      </c>
      <c r="E196" s="57" t="str">
        <f>IF(K196="","",VLOOKUP(F196,Tabelle1!$A$2:$M$496,13,0))</f>
        <v/>
      </c>
      <c r="F196" s="56"/>
      <c r="G196" s="57"/>
      <c r="H196" s="57"/>
      <c r="I196" s="57"/>
      <c r="J196" s="57"/>
      <c r="K196" s="57"/>
      <c r="L196" s="118" t="str">
        <f>IF(K196="","",VLOOKUP(F196,Tabelle1!$A$2:$I$496,9,0))</f>
        <v/>
      </c>
      <c r="M196" s="57" t="str">
        <f>IF(K196="","",VLOOKUP(F196,Tabelle1!$A$2:$G$496,7,0))</f>
        <v/>
      </c>
      <c r="N196" s="66" t="str">
        <f t="shared" si="5"/>
        <v/>
      </c>
      <c r="O196" s="66" t="str">
        <f>IF(K196="","",((K196*VLOOKUP(F196,Tabelle1!$A$2:$I$496,8,0))/$W$4))</f>
        <v/>
      </c>
      <c r="P196" s="76" t="str">
        <f>IF(K196="","",VLOOKUP(F196,Tabelle1!$A$2:$L$496,12,0))</f>
        <v/>
      </c>
    </row>
    <row r="197" spans="1:16">
      <c r="A197" s="67"/>
      <c r="B197" s="55"/>
      <c r="C197" s="55"/>
      <c r="D197" s="57" t="str">
        <f>IF(K197="","",VLOOKUP(F197,Tabelle1!$A$2:$C$496,3,0))</f>
        <v/>
      </c>
      <c r="E197" s="57" t="str">
        <f>IF(K197="","",VLOOKUP(F197,Tabelle1!$A$2:$M$496,13,0))</f>
        <v/>
      </c>
      <c r="F197" s="56"/>
      <c r="G197" s="57"/>
      <c r="H197" s="57"/>
      <c r="I197" s="57"/>
      <c r="J197" s="57"/>
      <c r="K197" s="57"/>
      <c r="L197" s="118" t="str">
        <f>IF(K197="","",VLOOKUP(F197,Tabelle1!$A$2:$I$496,9,0))</f>
        <v/>
      </c>
      <c r="M197" s="57" t="str">
        <f>IF(K197="","",VLOOKUP(F197,Tabelle1!$A$2:$G$496,7,0))</f>
        <v/>
      </c>
      <c r="N197" s="66" t="str">
        <f t="shared" ref="N197:N260" si="6">IF(M197&gt;0,O197,"")</f>
        <v/>
      </c>
      <c r="O197" s="66" t="str">
        <f>IF(K197="","",((K197*VLOOKUP(F197,Tabelle1!$A$2:$I$496,8,0))/$W$4))</f>
        <v/>
      </c>
      <c r="P197" s="76" t="str">
        <f>IF(K197="","",VLOOKUP(F197,Tabelle1!$A$2:$L$496,12,0))</f>
        <v/>
      </c>
    </row>
    <row r="198" spans="1:16">
      <c r="A198" s="67"/>
      <c r="B198" s="55"/>
      <c r="C198" s="55"/>
      <c r="D198" s="57" t="str">
        <f>IF(K198="","",VLOOKUP(F198,Tabelle1!$A$2:$C$496,3,0))</f>
        <v/>
      </c>
      <c r="E198" s="57" t="str">
        <f>IF(K198="","",VLOOKUP(F198,Tabelle1!$A$2:$M$496,13,0))</f>
        <v/>
      </c>
      <c r="F198" s="56"/>
      <c r="G198" s="57"/>
      <c r="H198" s="57"/>
      <c r="I198" s="57"/>
      <c r="J198" s="57"/>
      <c r="K198" s="57"/>
      <c r="L198" s="118" t="str">
        <f>IF(K198="","",VLOOKUP(F198,Tabelle1!$A$2:$I$496,9,0))</f>
        <v/>
      </c>
      <c r="M198" s="57" t="str">
        <f>IF(K198="","",VLOOKUP(F198,Tabelle1!$A$2:$G$496,7,0))</f>
        <v/>
      </c>
      <c r="N198" s="66" t="str">
        <f t="shared" si="6"/>
        <v/>
      </c>
      <c r="O198" s="66" t="str">
        <f>IF(K198="","",((K198*VLOOKUP(F198,Tabelle1!$A$2:$I$496,8,0))/$W$4))</f>
        <v/>
      </c>
      <c r="P198" s="76" t="str">
        <f>IF(K198="","",VLOOKUP(F198,Tabelle1!$A$2:$L$496,12,0))</f>
        <v/>
      </c>
    </row>
    <row r="199" spans="1:16">
      <c r="A199" s="67"/>
      <c r="B199" s="55"/>
      <c r="C199" s="55"/>
      <c r="D199" s="57" t="str">
        <f>IF(K199="","",VLOOKUP(F199,Tabelle1!$A$2:$C$496,3,0))</f>
        <v/>
      </c>
      <c r="E199" s="57" t="str">
        <f>IF(K199="","",VLOOKUP(F199,Tabelle1!$A$2:$M$496,13,0))</f>
        <v/>
      </c>
      <c r="F199" s="56"/>
      <c r="G199" s="57"/>
      <c r="H199" s="57"/>
      <c r="I199" s="57"/>
      <c r="J199" s="57"/>
      <c r="K199" s="57"/>
      <c r="L199" s="118" t="str">
        <f>IF(K199="","",VLOOKUP(F199,Tabelle1!$A$2:$I$496,9,0))</f>
        <v/>
      </c>
      <c r="M199" s="57" t="str">
        <f>IF(K199="","",VLOOKUP(F199,Tabelle1!$A$2:$G$496,7,0))</f>
        <v/>
      </c>
      <c r="N199" s="66" t="str">
        <f t="shared" si="6"/>
        <v/>
      </c>
      <c r="O199" s="66" t="str">
        <f>IF(K199="","",((K199*VLOOKUP(F199,Tabelle1!$A$2:$I$496,8,0))/$W$4))</f>
        <v/>
      </c>
      <c r="P199" s="76" t="str">
        <f>IF(K199="","",VLOOKUP(F199,Tabelle1!$A$2:$L$496,12,0))</f>
        <v/>
      </c>
    </row>
    <row r="200" spans="1:16">
      <c r="A200" s="67"/>
      <c r="B200" s="55"/>
      <c r="C200" s="55"/>
      <c r="D200" s="57" t="str">
        <f>IF(K200="","",VLOOKUP(F200,Tabelle1!$A$2:$C$496,3,0))</f>
        <v/>
      </c>
      <c r="E200" s="57" t="str">
        <f>IF(K200="","",VLOOKUP(F200,Tabelle1!$A$2:$M$496,13,0))</f>
        <v/>
      </c>
      <c r="F200" s="56"/>
      <c r="G200" s="57"/>
      <c r="H200" s="57"/>
      <c r="I200" s="57"/>
      <c r="J200" s="57"/>
      <c r="K200" s="57"/>
      <c r="L200" s="118" t="str">
        <f>IF(K200="","",VLOOKUP(F200,Tabelle1!$A$2:$I$496,9,0))</f>
        <v/>
      </c>
      <c r="M200" s="57" t="str">
        <f>IF(K200="","",VLOOKUP(F200,Tabelle1!$A$2:$G$496,7,0))</f>
        <v/>
      </c>
      <c r="N200" s="66" t="str">
        <f t="shared" si="6"/>
        <v/>
      </c>
      <c r="O200" s="66" t="str">
        <f>IF(K200="","",((K200*VLOOKUP(F200,Tabelle1!$A$2:$I$496,8,0))/$W$4))</f>
        <v/>
      </c>
      <c r="P200" s="76" t="str">
        <f>IF(K200="","",VLOOKUP(F200,Tabelle1!$A$2:$L$496,12,0))</f>
        <v/>
      </c>
    </row>
    <row r="201" spans="1:16">
      <c r="A201" s="67"/>
      <c r="B201" s="55"/>
      <c r="C201" s="55"/>
      <c r="D201" s="57" t="str">
        <f>IF(K201="","",VLOOKUP(F201,Tabelle1!$A$2:$C$496,3,0))</f>
        <v/>
      </c>
      <c r="E201" s="57" t="str">
        <f>IF(K201="","",VLOOKUP(F201,Tabelle1!$A$2:$M$496,13,0))</f>
        <v/>
      </c>
      <c r="F201" s="56"/>
      <c r="G201" s="57"/>
      <c r="H201" s="57"/>
      <c r="I201" s="57"/>
      <c r="J201" s="57"/>
      <c r="K201" s="57"/>
      <c r="L201" s="118" t="str">
        <f>IF(K201="","",VLOOKUP(F201,Tabelle1!$A$2:$I$496,9,0))</f>
        <v/>
      </c>
      <c r="M201" s="57" t="str">
        <f>IF(K201="","",VLOOKUP(F201,Tabelle1!$A$2:$G$496,7,0))</f>
        <v/>
      </c>
      <c r="N201" s="66" t="str">
        <f t="shared" si="6"/>
        <v/>
      </c>
      <c r="O201" s="66" t="str">
        <f>IF(K201="","",((K201*VLOOKUP(F201,Tabelle1!$A$2:$I$496,8,0))/$W$4))</f>
        <v/>
      </c>
      <c r="P201" s="76" t="str">
        <f>IF(K201="","",VLOOKUP(F201,Tabelle1!$A$2:$L$496,12,0))</f>
        <v/>
      </c>
    </row>
    <row r="202" spans="1:16">
      <c r="A202" s="67"/>
      <c r="B202" s="55"/>
      <c r="C202" s="55"/>
      <c r="D202" s="57" t="str">
        <f>IF(K202="","",VLOOKUP(F202,Tabelle1!$A$2:$C$496,3,0))</f>
        <v/>
      </c>
      <c r="E202" s="57" t="str">
        <f>IF(K202="","",VLOOKUP(F202,Tabelle1!$A$2:$M$496,13,0))</f>
        <v/>
      </c>
      <c r="F202" s="56"/>
      <c r="G202" s="57"/>
      <c r="H202" s="57"/>
      <c r="I202" s="57"/>
      <c r="J202" s="57"/>
      <c r="K202" s="57"/>
      <c r="L202" s="118" t="str">
        <f>IF(K202="","",VLOOKUP(F202,Tabelle1!$A$2:$I$496,9,0))</f>
        <v/>
      </c>
      <c r="M202" s="57" t="str">
        <f>IF(K202="","",VLOOKUP(F202,Tabelle1!$A$2:$G$496,7,0))</f>
        <v/>
      </c>
      <c r="N202" s="66" t="str">
        <f t="shared" si="6"/>
        <v/>
      </c>
      <c r="O202" s="66" t="str">
        <f>IF(K202="","",((K202*VLOOKUP(F202,Tabelle1!$A$2:$I$496,8,0))/$W$4))</f>
        <v/>
      </c>
      <c r="P202" s="76" t="str">
        <f>IF(K202="","",VLOOKUP(F202,Tabelle1!$A$2:$L$496,12,0))</f>
        <v/>
      </c>
    </row>
    <row r="203" spans="1:16">
      <c r="A203" s="67"/>
      <c r="B203" s="55"/>
      <c r="C203" s="55"/>
      <c r="D203" s="57" t="str">
        <f>IF(K203="","",VLOOKUP(F203,Tabelle1!$A$2:$C$496,3,0))</f>
        <v/>
      </c>
      <c r="E203" s="57" t="str">
        <f>IF(K203="","",VLOOKUP(F203,Tabelle1!$A$2:$M$496,13,0))</f>
        <v/>
      </c>
      <c r="F203" s="56"/>
      <c r="G203" s="57"/>
      <c r="H203" s="57"/>
      <c r="I203" s="57"/>
      <c r="J203" s="57"/>
      <c r="K203" s="57"/>
      <c r="L203" s="118" t="str">
        <f>IF(K203="","",VLOOKUP(F203,Tabelle1!$A$2:$I$496,9,0))</f>
        <v/>
      </c>
      <c r="M203" s="57" t="str">
        <f>IF(K203="","",VLOOKUP(F203,Tabelle1!$A$2:$G$496,7,0))</f>
        <v/>
      </c>
      <c r="N203" s="66" t="str">
        <f t="shared" si="6"/>
        <v/>
      </c>
      <c r="O203" s="66" t="str">
        <f>IF(K203="","",((K203*VLOOKUP(F203,Tabelle1!$A$2:$I$496,8,0))/$W$4))</f>
        <v/>
      </c>
      <c r="P203" s="76" t="str">
        <f>IF(K203="","",VLOOKUP(F203,Tabelle1!$A$2:$L$496,12,0))</f>
        <v/>
      </c>
    </row>
    <row r="204" spans="1:16">
      <c r="A204" s="67"/>
      <c r="B204" s="55"/>
      <c r="C204" s="55"/>
      <c r="D204" s="57" t="str">
        <f>IF(K204="","",VLOOKUP(F204,Tabelle1!$A$2:$C$496,3,0))</f>
        <v/>
      </c>
      <c r="E204" s="57" t="str">
        <f>IF(K204="","",VLOOKUP(F204,Tabelle1!$A$2:$M$496,13,0))</f>
        <v/>
      </c>
      <c r="F204" s="56"/>
      <c r="G204" s="57"/>
      <c r="H204" s="57"/>
      <c r="I204" s="57"/>
      <c r="J204" s="57"/>
      <c r="K204" s="57"/>
      <c r="L204" s="118" t="str">
        <f>IF(K204="","",VLOOKUP(F204,Tabelle1!$A$2:$I$496,9,0))</f>
        <v/>
      </c>
      <c r="M204" s="57" t="str">
        <f>IF(K204="","",VLOOKUP(F204,Tabelle1!$A$2:$G$496,7,0))</f>
        <v/>
      </c>
      <c r="N204" s="66" t="str">
        <f t="shared" si="6"/>
        <v/>
      </c>
      <c r="O204" s="66" t="str">
        <f>IF(K204="","",((K204*VLOOKUP(F204,Tabelle1!$A$2:$I$496,8,0))/$W$4))</f>
        <v/>
      </c>
      <c r="P204" s="76" t="str">
        <f>IF(K204="","",VLOOKUP(F204,Tabelle1!$A$2:$L$496,12,0))</f>
        <v/>
      </c>
    </row>
    <row r="205" spans="1:16">
      <c r="A205" s="67"/>
      <c r="B205" s="55"/>
      <c r="C205" s="55"/>
      <c r="D205" s="57" t="str">
        <f>IF(K205="","",VLOOKUP(F205,Tabelle1!$A$2:$C$496,3,0))</f>
        <v/>
      </c>
      <c r="E205" s="57" t="str">
        <f>IF(K205="","",VLOOKUP(F205,Tabelle1!$A$2:$M$496,13,0))</f>
        <v/>
      </c>
      <c r="F205" s="56"/>
      <c r="G205" s="57"/>
      <c r="H205" s="57"/>
      <c r="I205" s="57"/>
      <c r="J205" s="57"/>
      <c r="K205" s="57"/>
      <c r="L205" s="118" t="str">
        <f>IF(K205="","",VLOOKUP(F205,Tabelle1!$A$2:$I$496,9,0))</f>
        <v/>
      </c>
      <c r="M205" s="57" t="str">
        <f>IF(K205="","",VLOOKUP(F205,Tabelle1!$A$2:$G$496,7,0))</f>
        <v/>
      </c>
      <c r="N205" s="66" t="str">
        <f t="shared" si="6"/>
        <v/>
      </c>
      <c r="O205" s="66" t="str">
        <f>IF(K205="","",((K205*VLOOKUP(F205,Tabelle1!$A$2:$I$496,8,0))/$W$4))</f>
        <v/>
      </c>
      <c r="P205" s="76" t="str">
        <f>IF(K205="","",VLOOKUP(F205,Tabelle1!$A$2:$L$496,12,0))</f>
        <v/>
      </c>
    </row>
    <row r="206" spans="1:16">
      <c r="A206" s="67"/>
      <c r="B206" s="55"/>
      <c r="C206" s="55"/>
      <c r="D206" s="57" t="str">
        <f>IF(K206="","",VLOOKUP(F206,Tabelle1!$A$2:$C$496,3,0))</f>
        <v/>
      </c>
      <c r="E206" s="57" t="str">
        <f>IF(K206="","",VLOOKUP(F206,Tabelle1!$A$2:$M$496,13,0))</f>
        <v/>
      </c>
      <c r="F206" s="56"/>
      <c r="G206" s="57"/>
      <c r="H206" s="57"/>
      <c r="I206" s="57"/>
      <c r="J206" s="57"/>
      <c r="K206" s="57"/>
      <c r="L206" s="118" t="str">
        <f>IF(K206="","",VLOOKUP(F206,Tabelle1!$A$2:$I$496,9,0))</f>
        <v/>
      </c>
      <c r="M206" s="57" t="str">
        <f>IF(K206="","",VLOOKUP(F206,Tabelle1!$A$2:$G$496,7,0))</f>
        <v/>
      </c>
      <c r="N206" s="66" t="str">
        <f t="shared" si="6"/>
        <v/>
      </c>
      <c r="O206" s="66" t="str">
        <f>IF(K206="","",((K206*VLOOKUP(F206,Tabelle1!$A$2:$I$496,8,0))/$W$4))</f>
        <v/>
      </c>
      <c r="P206" s="76" t="str">
        <f>IF(K206="","",VLOOKUP(F206,Tabelle1!$A$2:$L$496,12,0))</f>
        <v/>
      </c>
    </row>
    <row r="207" spans="1:16">
      <c r="A207" s="67"/>
      <c r="B207" s="55"/>
      <c r="C207" s="55"/>
      <c r="D207" s="57" t="str">
        <f>IF(K207="","",VLOOKUP(F207,Tabelle1!$A$2:$C$496,3,0))</f>
        <v/>
      </c>
      <c r="E207" s="57" t="str">
        <f>IF(K207="","",VLOOKUP(F207,Tabelle1!$A$2:$M$496,13,0))</f>
        <v/>
      </c>
      <c r="F207" s="56"/>
      <c r="G207" s="57"/>
      <c r="H207" s="57"/>
      <c r="I207" s="57"/>
      <c r="J207" s="57"/>
      <c r="K207" s="57"/>
      <c r="L207" s="118" t="str">
        <f>IF(K207="","",VLOOKUP(F207,Tabelle1!$A$2:$I$496,9,0))</f>
        <v/>
      </c>
      <c r="M207" s="57" t="str">
        <f>IF(K207="","",VLOOKUP(F207,Tabelle1!$A$2:$G$496,7,0))</f>
        <v/>
      </c>
      <c r="N207" s="66" t="str">
        <f t="shared" si="6"/>
        <v/>
      </c>
      <c r="O207" s="66" t="str">
        <f>IF(K207="","",((K207*VLOOKUP(F207,Tabelle1!$A$2:$I$496,8,0))/$W$4))</f>
        <v/>
      </c>
      <c r="P207" s="76" t="str">
        <f>IF(K207="","",VLOOKUP(F207,Tabelle1!$A$2:$L$496,12,0))</f>
        <v/>
      </c>
    </row>
    <row r="208" spans="1:16">
      <c r="A208" s="67"/>
      <c r="B208" s="55"/>
      <c r="C208" s="55"/>
      <c r="D208" s="57" t="str">
        <f>IF(K208="","",VLOOKUP(F208,Tabelle1!$A$2:$C$496,3,0))</f>
        <v/>
      </c>
      <c r="E208" s="57" t="str">
        <f>IF(K208="","",VLOOKUP(F208,Tabelle1!$A$2:$M$496,13,0))</f>
        <v/>
      </c>
      <c r="F208" s="56"/>
      <c r="G208" s="57"/>
      <c r="H208" s="57"/>
      <c r="I208" s="57"/>
      <c r="J208" s="57"/>
      <c r="K208" s="57"/>
      <c r="L208" s="118" t="str">
        <f>IF(K208="","",VLOOKUP(F208,Tabelle1!$A$2:$I$496,9,0))</f>
        <v/>
      </c>
      <c r="M208" s="57" t="str">
        <f>IF(K208="","",VLOOKUP(F208,Tabelle1!$A$2:$G$496,7,0))</f>
        <v/>
      </c>
      <c r="N208" s="66" t="str">
        <f t="shared" si="6"/>
        <v/>
      </c>
      <c r="O208" s="66" t="str">
        <f>IF(K208="","",((K208*VLOOKUP(F208,Tabelle1!$A$2:$I$496,8,0))/$W$4))</f>
        <v/>
      </c>
      <c r="P208" s="76" t="str">
        <f>IF(K208="","",VLOOKUP(F208,Tabelle1!$A$2:$L$496,12,0))</f>
        <v/>
      </c>
    </row>
    <row r="209" spans="1:16">
      <c r="A209" s="67"/>
      <c r="B209" s="55"/>
      <c r="C209" s="55"/>
      <c r="D209" s="57" t="str">
        <f>IF(K209="","",VLOOKUP(F209,Tabelle1!$A$2:$C$496,3,0))</f>
        <v/>
      </c>
      <c r="E209" s="57" t="str">
        <f>IF(K209="","",VLOOKUP(F209,Tabelle1!$A$2:$M$496,13,0))</f>
        <v/>
      </c>
      <c r="F209" s="56"/>
      <c r="G209" s="57"/>
      <c r="H209" s="57"/>
      <c r="I209" s="57"/>
      <c r="J209" s="57"/>
      <c r="K209" s="57"/>
      <c r="L209" s="118" t="str">
        <f>IF(K209="","",VLOOKUP(F209,Tabelle1!$A$2:$I$496,9,0))</f>
        <v/>
      </c>
      <c r="M209" s="57" t="str">
        <f>IF(K209="","",VLOOKUP(F209,Tabelle1!$A$2:$G$496,7,0))</f>
        <v/>
      </c>
      <c r="N209" s="66" t="str">
        <f t="shared" si="6"/>
        <v/>
      </c>
      <c r="O209" s="66" t="str">
        <f>IF(K209="","",((K209*VLOOKUP(F209,Tabelle1!$A$2:$I$496,8,0))/$W$4))</f>
        <v/>
      </c>
      <c r="P209" s="76" t="str">
        <f>IF(K209="","",VLOOKUP(F209,Tabelle1!$A$2:$L$496,12,0))</f>
        <v/>
      </c>
    </row>
    <row r="210" spans="1:16">
      <c r="A210" s="67"/>
      <c r="B210" s="55"/>
      <c r="C210" s="55"/>
      <c r="D210" s="57" t="str">
        <f>IF(K210="","",VLOOKUP(F210,Tabelle1!$A$2:$C$496,3,0))</f>
        <v/>
      </c>
      <c r="E210" s="57" t="str">
        <f>IF(K210="","",VLOOKUP(F210,Tabelle1!$A$2:$M$496,13,0))</f>
        <v/>
      </c>
      <c r="F210" s="56"/>
      <c r="G210" s="57"/>
      <c r="H210" s="57"/>
      <c r="I210" s="57"/>
      <c r="J210" s="57"/>
      <c r="K210" s="57"/>
      <c r="L210" s="118" t="str">
        <f>IF(K210="","",VLOOKUP(F210,Tabelle1!$A$2:$I$496,9,0))</f>
        <v/>
      </c>
      <c r="M210" s="57" t="str">
        <f>IF(K210="","",VLOOKUP(F210,Tabelle1!$A$2:$G$496,7,0))</f>
        <v/>
      </c>
      <c r="N210" s="66" t="str">
        <f t="shared" si="6"/>
        <v/>
      </c>
      <c r="O210" s="66" t="str">
        <f>IF(K210="","",((K210*VLOOKUP(F210,Tabelle1!$A$2:$I$496,8,0))/$W$4))</f>
        <v/>
      </c>
      <c r="P210" s="76" t="str">
        <f>IF(K210="","",VLOOKUP(F210,Tabelle1!$A$2:$L$496,12,0))</f>
        <v/>
      </c>
    </row>
    <row r="211" spans="1:16">
      <c r="A211" s="67"/>
      <c r="B211" s="55"/>
      <c r="C211" s="55"/>
      <c r="D211" s="57" t="str">
        <f>IF(K211="","",VLOOKUP(F211,Tabelle1!$A$2:$C$496,3,0))</f>
        <v/>
      </c>
      <c r="E211" s="57" t="str">
        <f>IF(K211="","",VLOOKUP(F211,Tabelle1!$A$2:$M$496,13,0))</f>
        <v/>
      </c>
      <c r="F211" s="56"/>
      <c r="G211" s="57"/>
      <c r="H211" s="57"/>
      <c r="I211" s="57"/>
      <c r="J211" s="57"/>
      <c r="K211" s="57"/>
      <c r="L211" s="118" t="str">
        <f>IF(K211="","",VLOOKUP(F211,Tabelle1!$A$2:$I$496,9,0))</f>
        <v/>
      </c>
      <c r="M211" s="57" t="str">
        <f>IF(K211="","",VLOOKUP(F211,Tabelle1!$A$2:$G$496,7,0))</f>
        <v/>
      </c>
      <c r="N211" s="66" t="str">
        <f t="shared" si="6"/>
        <v/>
      </c>
      <c r="O211" s="66" t="str">
        <f>IF(K211="","",((K211*VLOOKUP(F211,Tabelle1!$A$2:$I$496,8,0))/$W$4))</f>
        <v/>
      </c>
      <c r="P211" s="76" t="str">
        <f>IF(K211="","",VLOOKUP(F211,Tabelle1!$A$2:$L$496,12,0))</f>
        <v/>
      </c>
    </row>
    <row r="212" spans="1:16">
      <c r="A212" s="67"/>
      <c r="B212" s="55"/>
      <c r="C212" s="55"/>
      <c r="D212" s="57" t="str">
        <f>IF(K212="","",VLOOKUP(F212,Tabelle1!$A$2:$C$496,3,0))</f>
        <v/>
      </c>
      <c r="E212" s="57" t="str">
        <f>IF(K212="","",VLOOKUP(F212,Tabelle1!$A$2:$M$496,13,0))</f>
        <v/>
      </c>
      <c r="F212" s="56"/>
      <c r="G212" s="57"/>
      <c r="H212" s="57"/>
      <c r="I212" s="57"/>
      <c r="J212" s="57"/>
      <c r="K212" s="57"/>
      <c r="L212" s="118" t="str">
        <f>IF(K212="","",VLOOKUP(F212,Tabelle1!$A$2:$I$496,9,0))</f>
        <v/>
      </c>
      <c r="M212" s="57" t="str">
        <f>IF(K212="","",VLOOKUP(F212,Tabelle1!$A$2:$G$496,7,0))</f>
        <v/>
      </c>
      <c r="N212" s="66" t="str">
        <f t="shared" si="6"/>
        <v/>
      </c>
      <c r="O212" s="66" t="str">
        <f>IF(K212="","",((K212*VLOOKUP(F212,Tabelle1!$A$2:$I$496,8,0))/$W$4))</f>
        <v/>
      </c>
      <c r="P212" s="76" t="str">
        <f>IF(K212="","",VLOOKUP(F212,Tabelle1!$A$2:$L$496,12,0))</f>
        <v/>
      </c>
    </row>
    <row r="213" spans="1:16">
      <c r="A213" s="67"/>
      <c r="B213" s="55"/>
      <c r="C213" s="55"/>
      <c r="D213" s="57" t="str">
        <f>IF(K213="","",VLOOKUP(F213,Tabelle1!$A$2:$C$496,3,0))</f>
        <v/>
      </c>
      <c r="E213" s="57" t="str">
        <f>IF(K213="","",VLOOKUP(F213,Tabelle1!$A$2:$M$496,13,0))</f>
        <v/>
      </c>
      <c r="F213" s="56"/>
      <c r="G213" s="57"/>
      <c r="H213" s="57"/>
      <c r="I213" s="57"/>
      <c r="J213" s="57"/>
      <c r="K213" s="57"/>
      <c r="L213" s="118" t="str">
        <f>IF(K213="","",VLOOKUP(F213,Tabelle1!$A$2:$I$496,9,0))</f>
        <v/>
      </c>
      <c r="M213" s="57" t="str">
        <f>IF(K213="","",VLOOKUP(F213,Tabelle1!$A$2:$G$496,7,0))</f>
        <v/>
      </c>
      <c r="N213" s="66" t="str">
        <f t="shared" si="6"/>
        <v/>
      </c>
      <c r="O213" s="66" t="str">
        <f>IF(K213="","",((K213*VLOOKUP(F213,Tabelle1!$A$2:$I$496,8,0))/$W$4))</f>
        <v/>
      </c>
      <c r="P213" s="76" t="str">
        <f>IF(K213="","",VLOOKUP(F213,Tabelle1!$A$2:$L$496,12,0))</f>
        <v/>
      </c>
    </row>
    <row r="214" spans="1:16">
      <c r="A214" s="67"/>
      <c r="B214" s="55"/>
      <c r="C214" s="55"/>
      <c r="D214" s="57" t="str">
        <f>IF(K214="","",VLOOKUP(F214,Tabelle1!$A$2:$C$496,3,0))</f>
        <v/>
      </c>
      <c r="E214" s="57" t="str">
        <f>IF(K214="","",VLOOKUP(F214,Tabelle1!$A$2:$M$496,13,0))</f>
        <v/>
      </c>
      <c r="F214" s="56"/>
      <c r="G214" s="57"/>
      <c r="H214" s="57"/>
      <c r="I214" s="57"/>
      <c r="J214" s="57"/>
      <c r="K214" s="57"/>
      <c r="L214" s="118" t="str">
        <f>IF(K214="","",VLOOKUP(F214,Tabelle1!$A$2:$I$496,9,0))</f>
        <v/>
      </c>
      <c r="M214" s="57" t="str">
        <f>IF(K214="","",VLOOKUP(F214,Tabelle1!$A$2:$G$496,7,0))</f>
        <v/>
      </c>
      <c r="N214" s="66" t="str">
        <f t="shared" si="6"/>
        <v/>
      </c>
      <c r="O214" s="66" t="str">
        <f>IF(K214="","",((K214*VLOOKUP(F214,Tabelle1!$A$2:$I$496,8,0))/$W$4))</f>
        <v/>
      </c>
      <c r="P214" s="76" t="str">
        <f>IF(K214="","",VLOOKUP(F214,Tabelle1!$A$2:$L$496,12,0))</f>
        <v/>
      </c>
    </row>
    <row r="215" spans="1:16">
      <c r="A215" s="67"/>
      <c r="B215" s="55"/>
      <c r="C215" s="55"/>
      <c r="D215" s="57" t="str">
        <f>IF(K215="","",VLOOKUP(F215,Tabelle1!$A$2:$C$496,3,0))</f>
        <v/>
      </c>
      <c r="E215" s="57" t="str">
        <f>IF(K215="","",VLOOKUP(F215,Tabelle1!$A$2:$M$496,13,0))</f>
        <v/>
      </c>
      <c r="F215" s="56"/>
      <c r="G215" s="57"/>
      <c r="H215" s="57"/>
      <c r="I215" s="57"/>
      <c r="J215" s="57"/>
      <c r="K215" s="57"/>
      <c r="L215" s="118" t="str">
        <f>IF(K215="","",VLOOKUP(F215,Tabelle1!$A$2:$I$496,9,0))</f>
        <v/>
      </c>
      <c r="M215" s="57" t="str">
        <f>IF(K215="","",VLOOKUP(F215,Tabelle1!$A$2:$G$496,7,0))</f>
        <v/>
      </c>
      <c r="N215" s="66" t="str">
        <f t="shared" si="6"/>
        <v/>
      </c>
      <c r="O215" s="66" t="str">
        <f>IF(K215="","",((K215*VLOOKUP(F215,Tabelle1!$A$2:$I$496,8,0))/$W$4))</f>
        <v/>
      </c>
      <c r="P215" s="76" t="str">
        <f>IF(K215="","",VLOOKUP(F215,Tabelle1!$A$2:$L$496,12,0))</f>
        <v/>
      </c>
    </row>
    <row r="216" spans="1:16">
      <c r="A216" s="67"/>
      <c r="B216" s="55"/>
      <c r="C216" s="55"/>
      <c r="D216" s="57" t="str">
        <f>IF(K216="","",VLOOKUP(F216,Tabelle1!$A$2:$C$496,3,0))</f>
        <v/>
      </c>
      <c r="E216" s="57" t="str">
        <f>IF(K216="","",VLOOKUP(F216,Tabelle1!$A$2:$M$496,13,0))</f>
        <v/>
      </c>
      <c r="F216" s="56"/>
      <c r="G216" s="57"/>
      <c r="H216" s="57"/>
      <c r="I216" s="57"/>
      <c r="J216" s="57"/>
      <c r="K216" s="57"/>
      <c r="L216" s="118" t="str">
        <f>IF(K216="","",VLOOKUP(F216,Tabelle1!$A$2:$I$496,9,0))</f>
        <v/>
      </c>
      <c r="M216" s="57" t="str">
        <f>IF(K216="","",VLOOKUP(F216,Tabelle1!$A$2:$G$496,7,0))</f>
        <v/>
      </c>
      <c r="N216" s="66" t="str">
        <f t="shared" si="6"/>
        <v/>
      </c>
      <c r="O216" s="66" t="str">
        <f>IF(K216="","",((K216*VLOOKUP(F216,Tabelle1!$A$2:$I$496,8,0))/$W$4))</f>
        <v/>
      </c>
      <c r="P216" s="76" t="str">
        <f>IF(K216="","",VLOOKUP(F216,Tabelle1!$A$2:$L$496,12,0))</f>
        <v/>
      </c>
    </row>
    <row r="217" spans="1:16">
      <c r="A217" s="67"/>
      <c r="B217" s="55"/>
      <c r="C217" s="55"/>
      <c r="D217" s="57" t="str">
        <f>IF(K217="","",VLOOKUP(F217,Tabelle1!$A$2:$C$496,3,0))</f>
        <v/>
      </c>
      <c r="E217" s="57" t="str">
        <f>IF(K217="","",VLOOKUP(F217,Tabelle1!$A$2:$M$496,13,0))</f>
        <v/>
      </c>
      <c r="F217" s="56"/>
      <c r="G217" s="57"/>
      <c r="H217" s="57"/>
      <c r="I217" s="57"/>
      <c r="J217" s="57"/>
      <c r="K217" s="57"/>
      <c r="L217" s="118" t="str">
        <f>IF(K217="","",VLOOKUP(F217,Tabelle1!$A$2:$I$496,9,0))</f>
        <v/>
      </c>
      <c r="M217" s="57" t="str">
        <f>IF(K217="","",VLOOKUP(F217,Tabelle1!$A$2:$G$496,7,0))</f>
        <v/>
      </c>
      <c r="N217" s="66" t="str">
        <f t="shared" si="6"/>
        <v/>
      </c>
      <c r="O217" s="66" t="str">
        <f>IF(K217="","",((K217*VLOOKUP(F217,Tabelle1!$A$2:$I$496,8,0))/$W$4))</f>
        <v/>
      </c>
      <c r="P217" s="76" t="str">
        <f>IF(K217="","",VLOOKUP(F217,Tabelle1!$A$2:$L$496,12,0))</f>
        <v/>
      </c>
    </row>
    <row r="218" spans="1:16">
      <c r="A218" s="67"/>
      <c r="B218" s="55"/>
      <c r="C218" s="55"/>
      <c r="D218" s="57" t="str">
        <f>IF(K218="","",VLOOKUP(F218,Tabelle1!$A$2:$C$496,3,0))</f>
        <v/>
      </c>
      <c r="E218" s="57" t="str">
        <f>IF(K218="","",VLOOKUP(F218,Tabelle1!$A$2:$M$496,13,0))</f>
        <v/>
      </c>
      <c r="F218" s="56"/>
      <c r="G218" s="57"/>
      <c r="H218" s="57"/>
      <c r="I218" s="57"/>
      <c r="J218" s="57"/>
      <c r="K218" s="57"/>
      <c r="L218" s="118" t="str">
        <f>IF(K218="","",VLOOKUP(F218,Tabelle1!$A$2:$I$496,9,0))</f>
        <v/>
      </c>
      <c r="M218" s="57" t="str">
        <f>IF(K218="","",VLOOKUP(F218,Tabelle1!$A$2:$G$496,7,0))</f>
        <v/>
      </c>
      <c r="N218" s="66" t="str">
        <f t="shared" si="6"/>
        <v/>
      </c>
      <c r="O218" s="66" t="str">
        <f>IF(K218="","",((K218*VLOOKUP(F218,Tabelle1!$A$2:$I$496,8,0))/$W$4))</f>
        <v/>
      </c>
      <c r="P218" s="76" t="str">
        <f>IF(K218="","",VLOOKUP(F218,Tabelle1!$A$2:$L$496,12,0))</f>
        <v/>
      </c>
    </row>
    <row r="219" spans="1:16">
      <c r="A219" s="67"/>
      <c r="B219" s="55"/>
      <c r="C219" s="55"/>
      <c r="D219" s="57" t="str">
        <f>IF(K219="","",VLOOKUP(F219,Tabelle1!$A$2:$C$496,3,0))</f>
        <v/>
      </c>
      <c r="E219" s="57" t="str">
        <f>IF(K219="","",VLOOKUP(F219,Tabelle1!$A$2:$M$496,13,0))</f>
        <v/>
      </c>
      <c r="F219" s="56"/>
      <c r="G219" s="57"/>
      <c r="H219" s="57"/>
      <c r="I219" s="57"/>
      <c r="J219" s="57"/>
      <c r="K219" s="57"/>
      <c r="L219" s="118" t="str">
        <f>IF(K219="","",VLOOKUP(F219,Tabelle1!$A$2:$I$496,9,0))</f>
        <v/>
      </c>
      <c r="M219" s="57" t="str">
        <f>IF(K219="","",VLOOKUP(F219,Tabelle1!$A$2:$G$496,7,0))</f>
        <v/>
      </c>
      <c r="N219" s="66" t="str">
        <f t="shared" si="6"/>
        <v/>
      </c>
      <c r="O219" s="66" t="str">
        <f>IF(K219="","",((K219*VLOOKUP(F219,Tabelle1!$A$2:$I$496,8,0))/$W$4))</f>
        <v/>
      </c>
      <c r="P219" s="76" t="str">
        <f>IF(K219="","",VLOOKUP(F219,Tabelle1!$A$2:$L$496,12,0))</f>
        <v/>
      </c>
    </row>
    <row r="220" spans="1:16">
      <c r="A220" s="67"/>
      <c r="B220" s="55"/>
      <c r="C220" s="55"/>
      <c r="D220" s="57" t="str">
        <f>IF(K220="","",VLOOKUP(F220,Tabelle1!$A$2:$C$496,3,0))</f>
        <v/>
      </c>
      <c r="E220" s="57" t="str">
        <f>IF(K220="","",VLOOKUP(F220,Tabelle1!$A$2:$M$496,13,0))</f>
        <v/>
      </c>
      <c r="F220" s="56"/>
      <c r="G220" s="57"/>
      <c r="H220" s="57"/>
      <c r="I220" s="57"/>
      <c r="J220" s="57"/>
      <c r="K220" s="57"/>
      <c r="L220" s="118" t="str">
        <f>IF(K220="","",VLOOKUP(F220,Tabelle1!$A$2:$I$496,9,0))</f>
        <v/>
      </c>
      <c r="M220" s="57" t="str">
        <f>IF(K220="","",VLOOKUP(F220,Tabelle1!$A$2:$G$496,7,0))</f>
        <v/>
      </c>
      <c r="N220" s="66" t="str">
        <f t="shared" si="6"/>
        <v/>
      </c>
      <c r="O220" s="66" t="str">
        <f>IF(K220="","",((K220*VLOOKUP(F220,Tabelle1!$A$2:$I$496,8,0))/$W$4))</f>
        <v/>
      </c>
      <c r="P220" s="76" t="str">
        <f>IF(K220="","",VLOOKUP(F220,Tabelle1!$A$2:$L$496,12,0))</f>
        <v/>
      </c>
    </row>
    <row r="221" spans="1:16">
      <c r="A221" s="67"/>
      <c r="B221" s="55"/>
      <c r="C221" s="55"/>
      <c r="D221" s="57" t="str">
        <f>IF(K221="","",VLOOKUP(F221,Tabelle1!$A$2:$C$496,3,0))</f>
        <v/>
      </c>
      <c r="E221" s="57" t="str">
        <f>IF(K221="","",VLOOKUP(F221,Tabelle1!$A$2:$M$496,13,0))</f>
        <v/>
      </c>
      <c r="F221" s="56"/>
      <c r="G221" s="57"/>
      <c r="H221" s="57"/>
      <c r="I221" s="57"/>
      <c r="J221" s="57"/>
      <c r="K221" s="57"/>
      <c r="L221" s="118" t="str">
        <f>IF(K221="","",VLOOKUP(F221,Tabelle1!$A$2:$I$496,9,0))</f>
        <v/>
      </c>
      <c r="M221" s="57" t="str">
        <f>IF(K221="","",VLOOKUP(F221,Tabelle1!$A$2:$G$496,7,0))</f>
        <v/>
      </c>
      <c r="N221" s="66" t="str">
        <f t="shared" si="6"/>
        <v/>
      </c>
      <c r="O221" s="66" t="str">
        <f>IF(K221="","",((K221*VLOOKUP(F221,Tabelle1!$A$2:$I$496,8,0))/$W$4))</f>
        <v/>
      </c>
      <c r="P221" s="76" t="str">
        <f>IF(K221="","",VLOOKUP(F221,Tabelle1!$A$2:$L$496,12,0))</f>
        <v/>
      </c>
    </row>
    <row r="222" spans="1:16">
      <c r="A222" s="67"/>
      <c r="B222" s="55"/>
      <c r="C222" s="55"/>
      <c r="D222" s="57" t="str">
        <f>IF(K222="","",VLOOKUP(F222,Tabelle1!$A$2:$C$496,3,0))</f>
        <v/>
      </c>
      <c r="E222" s="57" t="str">
        <f>IF(K222="","",VLOOKUP(F222,Tabelle1!$A$2:$M$496,13,0))</f>
        <v/>
      </c>
      <c r="F222" s="56"/>
      <c r="G222" s="57"/>
      <c r="H222" s="57"/>
      <c r="I222" s="57"/>
      <c r="J222" s="57"/>
      <c r="K222" s="57"/>
      <c r="L222" s="118" t="str">
        <f>IF(K222="","",VLOOKUP(F222,Tabelle1!$A$2:$I$496,9,0))</f>
        <v/>
      </c>
      <c r="M222" s="57" t="str">
        <f>IF(K222="","",VLOOKUP(F222,Tabelle1!$A$2:$G$496,7,0))</f>
        <v/>
      </c>
      <c r="N222" s="66" t="str">
        <f t="shared" si="6"/>
        <v/>
      </c>
      <c r="O222" s="66" t="str">
        <f>IF(K222="","",((K222*VLOOKUP(F222,Tabelle1!$A$2:$I$496,8,0))/$W$4))</f>
        <v/>
      </c>
      <c r="P222" s="76" t="str">
        <f>IF(K222="","",VLOOKUP(F222,Tabelle1!$A$2:$L$496,12,0))</f>
        <v/>
      </c>
    </row>
    <row r="223" spans="1:16">
      <c r="A223" s="67"/>
      <c r="B223" s="55"/>
      <c r="C223" s="55"/>
      <c r="D223" s="57" t="str">
        <f>IF(K223="","",VLOOKUP(F223,Tabelle1!$A$2:$C$496,3,0))</f>
        <v/>
      </c>
      <c r="E223" s="57" t="str">
        <f>IF(K223="","",VLOOKUP(F223,Tabelle1!$A$2:$M$496,13,0))</f>
        <v/>
      </c>
      <c r="F223" s="56"/>
      <c r="G223" s="57"/>
      <c r="H223" s="57"/>
      <c r="I223" s="57"/>
      <c r="J223" s="57"/>
      <c r="K223" s="57"/>
      <c r="L223" s="118" t="str">
        <f>IF(K223="","",VLOOKUP(F223,Tabelle1!$A$2:$I$496,9,0))</f>
        <v/>
      </c>
      <c r="M223" s="57" t="str">
        <f>IF(K223="","",VLOOKUP(F223,Tabelle1!$A$2:$G$496,7,0))</f>
        <v/>
      </c>
      <c r="N223" s="66" t="str">
        <f t="shared" si="6"/>
        <v/>
      </c>
      <c r="O223" s="66" t="str">
        <f>IF(K223="","",((K223*VLOOKUP(F223,Tabelle1!$A$2:$I$496,8,0))/$W$4))</f>
        <v/>
      </c>
      <c r="P223" s="76" t="str">
        <f>IF(K223="","",VLOOKUP(F223,Tabelle1!$A$2:$L$496,12,0))</f>
        <v/>
      </c>
    </row>
    <row r="224" spans="1:16">
      <c r="A224" s="67"/>
      <c r="B224" s="55"/>
      <c r="C224" s="55"/>
      <c r="D224" s="57" t="str">
        <f>IF(K224="","",VLOOKUP(F224,Tabelle1!$A$2:$C$496,3,0))</f>
        <v/>
      </c>
      <c r="E224" s="57" t="str">
        <f>IF(K224="","",VLOOKUP(F224,Tabelle1!$A$2:$M$496,13,0))</f>
        <v/>
      </c>
      <c r="F224" s="56"/>
      <c r="G224" s="57"/>
      <c r="H224" s="57"/>
      <c r="I224" s="57"/>
      <c r="J224" s="57"/>
      <c r="K224" s="57"/>
      <c r="L224" s="118" t="str">
        <f>IF(K224="","",VLOOKUP(F224,Tabelle1!$A$2:$I$496,9,0))</f>
        <v/>
      </c>
      <c r="M224" s="57" t="str">
        <f>IF(K224="","",VLOOKUP(F224,Tabelle1!$A$2:$G$496,7,0))</f>
        <v/>
      </c>
      <c r="N224" s="66" t="str">
        <f t="shared" si="6"/>
        <v/>
      </c>
      <c r="O224" s="66" t="str">
        <f>IF(K224="","",((K224*VLOOKUP(F224,Tabelle1!$A$2:$I$496,8,0))/$W$4))</f>
        <v/>
      </c>
      <c r="P224" s="76" t="str">
        <f>IF(K224="","",VLOOKUP(F224,Tabelle1!$A$2:$L$496,12,0))</f>
        <v/>
      </c>
    </row>
    <row r="225" spans="1:16">
      <c r="A225" s="67"/>
      <c r="B225" s="55"/>
      <c r="C225" s="55"/>
      <c r="D225" s="57" t="str">
        <f>IF(K225="","",VLOOKUP(F225,Tabelle1!$A$2:$C$496,3,0))</f>
        <v/>
      </c>
      <c r="E225" s="57" t="str">
        <f>IF(K225="","",VLOOKUP(F225,Tabelle1!$A$2:$M$496,13,0))</f>
        <v/>
      </c>
      <c r="F225" s="56"/>
      <c r="G225" s="57"/>
      <c r="H225" s="57"/>
      <c r="I225" s="57"/>
      <c r="J225" s="57"/>
      <c r="K225" s="57"/>
      <c r="L225" s="118" t="str">
        <f>IF(K225="","",VLOOKUP(F225,Tabelle1!$A$2:$I$496,9,0))</f>
        <v/>
      </c>
      <c r="M225" s="57" t="str">
        <f>IF(K225="","",VLOOKUP(F225,Tabelle1!$A$2:$G$496,7,0))</f>
        <v/>
      </c>
      <c r="N225" s="66" t="str">
        <f t="shared" si="6"/>
        <v/>
      </c>
      <c r="O225" s="66" t="str">
        <f>IF(K225="","",((K225*VLOOKUP(F225,Tabelle1!$A$2:$I$496,8,0))/$W$4))</f>
        <v/>
      </c>
      <c r="P225" s="76" t="str">
        <f>IF(K225="","",VLOOKUP(F225,Tabelle1!$A$2:$L$496,12,0))</f>
        <v/>
      </c>
    </row>
    <row r="226" spans="1:16">
      <c r="A226" s="67"/>
      <c r="B226" s="55"/>
      <c r="C226" s="55"/>
      <c r="D226" s="57" t="str">
        <f>IF(K226="","",VLOOKUP(F226,Tabelle1!$A$2:$C$496,3,0))</f>
        <v/>
      </c>
      <c r="E226" s="57" t="str">
        <f>IF(K226="","",VLOOKUP(F226,Tabelle1!$A$2:$M$496,13,0))</f>
        <v/>
      </c>
      <c r="F226" s="56"/>
      <c r="G226" s="57"/>
      <c r="H226" s="57"/>
      <c r="I226" s="57"/>
      <c r="J226" s="57"/>
      <c r="K226" s="57"/>
      <c r="L226" s="118" t="str">
        <f>IF(K226="","",VLOOKUP(F226,Tabelle1!$A$2:$I$496,9,0))</f>
        <v/>
      </c>
      <c r="M226" s="57" t="str">
        <f>IF(K226="","",VLOOKUP(F226,Tabelle1!$A$2:$G$496,7,0))</f>
        <v/>
      </c>
      <c r="N226" s="66" t="str">
        <f t="shared" si="6"/>
        <v/>
      </c>
      <c r="O226" s="66" t="str">
        <f>IF(K226="","",((K226*VLOOKUP(F226,Tabelle1!$A$2:$I$496,8,0))/$W$4))</f>
        <v/>
      </c>
      <c r="P226" s="76" t="str">
        <f>IF(K226="","",VLOOKUP(F226,Tabelle1!$A$2:$L$496,12,0))</f>
        <v/>
      </c>
    </row>
    <row r="227" spans="1:16">
      <c r="A227" s="67"/>
      <c r="B227" s="55"/>
      <c r="C227" s="55"/>
      <c r="D227" s="57" t="str">
        <f>IF(K227="","",VLOOKUP(F227,Tabelle1!$A$2:$C$496,3,0))</f>
        <v/>
      </c>
      <c r="E227" s="57" t="str">
        <f>IF(K227="","",VLOOKUP(F227,Tabelle1!$A$2:$M$496,13,0))</f>
        <v/>
      </c>
      <c r="F227" s="56"/>
      <c r="G227" s="57"/>
      <c r="H227" s="57"/>
      <c r="I227" s="57"/>
      <c r="J227" s="57"/>
      <c r="K227" s="57"/>
      <c r="L227" s="118" t="str">
        <f>IF(K227="","",VLOOKUP(F227,Tabelle1!$A$2:$I$496,9,0))</f>
        <v/>
      </c>
      <c r="M227" s="57" t="str">
        <f>IF(K227="","",VLOOKUP(F227,Tabelle1!$A$2:$G$496,7,0))</f>
        <v/>
      </c>
      <c r="N227" s="66" t="str">
        <f t="shared" si="6"/>
        <v/>
      </c>
      <c r="O227" s="66" t="str">
        <f>IF(K227="","",((K227*VLOOKUP(F227,Tabelle1!$A$2:$I$496,8,0))/$W$4))</f>
        <v/>
      </c>
      <c r="P227" s="76" t="str">
        <f>IF(K227="","",VLOOKUP(F227,Tabelle1!$A$2:$L$496,12,0))</f>
        <v/>
      </c>
    </row>
    <row r="228" spans="1:16">
      <c r="A228" s="67"/>
      <c r="B228" s="55"/>
      <c r="C228" s="55"/>
      <c r="D228" s="57" t="str">
        <f>IF(K228="","",VLOOKUP(F228,Tabelle1!$A$2:$C$496,3,0))</f>
        <v/>
      </c>
      <c r="E228" s="57" t="str">
        <f>IF(K228="","",VLOOKUP(F228,Tabelle1!$A$2:$M$496,13,0))</f>
        <v/>
      </c>
      <c r="F228" s="56"/>
      <c r="G228" s="57"/>
      <c r="H228" s="57"/>
      <c r="I228" s="57"/>
      <c r="J228" s="57"/>
      <c r="K228" s="57"/>
      <c r="L228" s="118" t="str">
        <f>IF(K228="","",VLOOKUP(F228,Tabelle1!$A$2:$I$496,9,0))</f>
        <v/>
      </c>
      <c r="M228" s="57" t="str">
        <f>IF(K228="","",VLOOKUP(F228,Tabelle1!$A$2:$G$496,7,0))</f>
        <v/>
      </c>
      <c r="N228" s="66" t="str">
        <f t="shared" si="6"/>
        <v/>
      </c>
      <c r="O228" s="66" t="str">
        <f>IF(K228="","",((K228*VLOOKUP(F228,Tabelle1!$A$2:$I$496,8,0))/$W$4))</f>
        <v/>
      </c>
      <c r="P228" s="76" t="str">
        <f>IF(K228="","",VLOOKUP(F228,Tabelle1!$A$2:$L$496,12,0))</f>
        <v/>
      </c>
    </row>
    <row r="229" spans="1:16">
      <c r="A229" s="67"/>
      <c r="B229" s="55"/>
      <c r="C229" s="55"/>
      <c r="D229" s="57" t="str">
        <f>IF(K229="","",VLOOKUP(F229,Tabelle1!$A$2:$C$496,3,0))</f>
        <v/>
      </c>
      <c r="E229" s="57" t="str">
        <f>IF(K229="","",VLOOKUP(F229,Tabelle1!$A$2:$M$496,13,0))</f>
        <v/>
      </c>
      <c r="F229" s="56"/>
      <c r="G229" s="57"/>
      <c r="H229" s="57"/>
      <c r="I229" s="57"/>
      <c r="J229" s="57"/>
      <c r="K229" s="57"/>
      <c r="L229" s="118" t="str">
        <f>IF(K229="","",VLOOKUP(F229,Tabelle1!$A$2:$I$496,9,0))</f>
        <v/>
      </c>
      <c r="M229" s="57" t="str">
        <f>IF(K229="","",VLOOKUP(F229,Tabelle1!$A$2:$G$496,7,0))</f>
        <v/>
      </c>
      <c r="N229" s="66" t="str">
        <f t="shared" si="6"/>
        <v/>
      </c>
      <c r="O229" s="66" t="str">
        <f>IF(K229="","",((K229*VLOOKUP(F229,Tabelle1!$A$2:$I$496,8,0))/$W$4))</f>
        <v/>
      </c>
      <c r="P229" s="76" t="str">
        <f>IF(K229="","",VLOOKUP(F229,Tabelle1!$A$2:$L$496,12,0))</f>
        <v/>
      </c>
    </row>
    <row r="230" spans="1:16">
      <c r="A230" s="67"/>
      <c r="B230" s="55"/>
      <c r="C230" s="55"/>
      <c r="D230" s="57" t="str">
        <f>IF(K230="","",VLOOKUP(F230,Tabelle1!$A$2:$C$496,3,0))</f>
        <v/>
      </c>
      <c r="E230" s="57" t="str">
        <f>IF(K230="","",VLOOKUP(F230,Tabelle1!$A$2:$M$496,13,0))</f>
        <v/>
      </c>
      <c r="F230" s="56"/>
      <c r="G230" s="57"/>
      <c r="H230" s="57"/>
      <c r="I230" s="57"/>
      <c r="J230" s="57"/>
      <c r="K230" s="57"/>
      <c r="L230" s="118" t="str">
        <f>IF(K230="","",VLOOKUP(F230,Tabelle1!$A$2:$I$496,9,0))</f>
        <v/>
      </c>
      <c r="M230" s="57" t="str">
        <f>IF(K230="","",VLOOKUP(F230,Tabelle1!$A$2:$G$496,7,0))</f>
        <v/>
      </c>
      <c r="N230" s="66" t="str">
        <f t="shared" si="6"/>
        <v/>
      </c>
      <c r="O230" s="66" t="str">
        <f>IF(K230="","",((K230*VLOOKUP(F230,Tabelle1!$A$2:$I$496,8,0))/$W$4))</f>
        <v/>
      </c>
      <c r="P230" s="76" t="str">
        <f>IF(K230="","",VLOOKUP(F230,Tabelle1!$A$2:$L$496,12,0))</f>
        <v/>
      </c>
    </row>
    <row r="231" spans="1:16">
      <c r="A231" s="67"/>
      <c r="B231" s="55"/>
      <c r="C231" s="55"/>
      <c r="D231" s="57" t="str">
        <f>IF(K231="","",VLOOKUP(F231,Tabelle1!$A$2:$C$496,3,0))</f>
        <v/>
      </c>
      <c r="E231" s="57" t="str">
        <f>IF(K231="","",VLOOKUP(F231,Tabelle1!$A$2:$M$496,13,0))</f>
        <v/>
      </c>
      <c r="F231" s="56"/>
      <c r="G231" s="57"/>
      <c r="H231" s="57"/>
      <c r="I231" s="57"/>
      <c r="J231" s="57"/>
      <c r="K231" s="57"/>
      <c r="L231" s="118" t="str">
        <f>IF(K231="","",VLOOKUP(F231,Tabelle1!$A$2:$I$496,9,0))</f>
        <v/>
      </c>
      <c r="M231" s="57" t="str">
        <f>IF(K231="","",VLOOKUP(F231,Tabelle1!$A$2:$G$496,7,0))</f>
        <v/>
      </c>
      <c r="N231" s="66" t="str">
        <f t="shared" si="6"/>
        <v/>
      </c>
      <c r="O231" s="66" t="str">
        <f>IF(K231="","",((K231*VLOOKUP(F231,Tabelle1!$A$2:$I$496,8,0))/$W$4))</f>
        <v/>
      </c>
      <c r="P231" s="76" t="str">
        <f>IF(K231="","",VLOOKUP(F231,Tabelle1!$A$2:$L$496,12,0))</f>
        <v/>
      </c>
    </row>
    <row r="232" spans="1:16">
      <c r="A232" s="67"/>
      <c r="B232" s="55"/>
      <c r="C232" s="55"/>
      <c r="D232" s="57" t="str">
        <f>IF(K232="","",VLOOKUP(F232,Tabelle1!$A$2:$C$496,3,0))</f>
        <v/>
      </c>
      <c r="E232" s="57" t="str">
        <f>IF(K232="","",VLOOKUP(F232,Tabelle1!$A$2:$M$496,13,0))</f>
        <v/>
      </c>
      <c r="F232" s="56"/>
      <c r="G232" s="57"/>
      <c r="H232" s="57"/>
      <c r="I232" s="57"/>
      <c r="J232" s="57"/>
      <c r="K232" s="57"/>
      <c r="L232" s="118" t="str">
        <f>IF(K232="","",VLOOKUP(F232,Tabelle1!$A$2:$I$496,9,0))</f>
        <v/>
      </c>
      <c r="M232" s="57" t="str">
        <f>IF(K232="","",VLOOKUP(F232,Tabelle1!$A$2:$G$496,7,0))</f>
        <v/>
      </c>
      <c r="N232" s="66" t="str">
        <f t="shared" si="6"/>
        <v/>
      </c>
      <c r="O232" s="66" t="str">
        <f>IF(K232="","",((K232*VLOOKUP(F232,Tabelle1!$A$2:$I$496,8,0))/$W$4))</f>
        <v/>
      </c>
      <c r="P232" s="76" t="str">
        <f>IF(K232="","",VLOOKUP(F232,Tabelle1!$A$2:$L$496,12,0))</f>
        <v/>
      </c>
    </row>
    <row r="233" spans="1:16">
      <c r="A233" s="67"/>
      <c r="B233" s="55"/>
      <c r="C233" s="55"/>
      <c r="D233" s="57" t="str">
        <f>IF(K233="","",VLOOKUP(F233,Tabelle1!$A$2:$C$496,3,0))</f>
        <v/>
      </c>
      <c r="E233" s="57" t="str">
        <f>IF(K233="","",VLOOKUP(F233,Tabelle1!$A$2:$M$496,13,0))</f>
        <v/>
      </c>
      <c r="F233" s="56"/>
      <c r="G233" s="57"/>
      <c r="H233" s="57"/>
      <c r="I233" s="57"/>
      <c r="J233" s="57"/>
      <c r="K233" s="57"/>
      <c r="L233" s="118" t="str">
        <f>IF(K233="","",VLOOKUP(F233,Tabelle1!$A$2:$I$496,9,0))</f>
        <v/>
      </c>
      <c r="M233" s="57" t="str">
        <f>IF(K233="","",VLOOKUP(F233,Tabelle1!$A$2:$G$496,7,0))</f>
        <v/>
      </c>
      <c r="N233" s="66" t="str">
        <f t="shared" si="6"/>
        <v/>
      </c>
      <c r="O233" s="66" t="str">
        <f>IF(K233="","",((K233*VLOOKUP(F233,Tabelle1!$A$2:$I$496,8,0))/$W$4))</f>
        <v/>
      </c>
      <c r="P233" s="76" t="str">
        <f>IF(K233="","",VLOOKUP(F233,Tabelle1!$A$2:$L$496,12,0))</f>
        <v/>
      </c>
    </row>
    <row r="234" spans="1:16">
      <c r="A234" s="67"/>
      <c r="B234" s="55"/>
      <c r="C234" s="55"/>
      <c r="D234" s="57" t="str">
        <f>IF(K234="","",VLOOKUP(F234,Tabelle1!$A$2:$C$496,3,0))</f>
        <v/>
      </c>
      <c r="E234" s="57" t="str">
        <f>IF(K234="","",VLOOKUP(F234,Tabelle1!$A$2:$M$496,13,0))</f>
        <v/>
      </c>
      <c r="F234" s="56"/>
      <c r="G234" s="57"/>
      <c r="H234" s="57"/>
      <c r="I234" s="57"/>
      <c r="J234" s="57"/>
      <c r="K234" s="57"/>
      <c r="L234" s="118" t="str">
        <f>IF(K234="","",VLOOKUP(F234,Tabelle1!$A$2:$I$496,9,0))</f>
        <v/>
      </c>
      <c r="M234" s="57" t="str">
        <f>IF(K234="","",VLOOKUP(F234,Tabelle1!$A$2:$G$496,7,0))</f>
        <v/>
      </c>
      <c r="N234" s="66" t="str">
        <f t="shared" si="6"/>
        <v/>
      </c>
      <c r="O234" s="66" t="str">
        <f>IF(K234="","",((K234*VLOOKUP(F234,Tabelle1!$A$2:$I$496,8,0))/$W$4))</f>
        <v/>
      </c>
      <c r="P234" s="76" t="str">
        <f>IF(K234="","",VLOOKUP(F234,Tabelle1!$A$2:$L$496,12,0))</f>
        <v/>
      </c>
    </row>
    <row r="235" spans="1:16">
      <c r="A235" s="67"/>
      <c r="B235" s="55"/>
      <c r="C235" s="55"/>
      <c r="D235" s="57" t="str">
        <f>IF(K235="","",VLOOKUP(F235,Tabelle1!$A$2:$C$496,3,0))</f>
        <v/>
      </c>
      <c r="E235" s="57" t="str">
        <f>IF(K235="","",VLOOKUP(F235,Tabelle1!$A$2:$M$496,13,0))</f>
        <v/>
      </c>
      <c r="F235" s="56"/>
      <c r="G235" s="57"/>
      <c r="H235" s="57"/>
      <c r="I235" s="57"/>
      <c r="J235" s="57"/>
      <c r="K235" s="57"/>
      <c r="L235" s="118" t="str">
        <f>IF(K235="","",VLOOKUP(F235,Tabelle1!$A$2:$I$496,9,0))</f>
        <v/>
      </c>
      <c r="M235" s="57" t="str">
        <f>IF(K235="","",VLOOKUP(F235,Tabelle1!$A$2:$G$496,7,0))</f>
        <v/>
      </c>
      <c r="N235" s="66" t="str">
        <f t="shared" si="6"/>
        <v/>
      </c>
      <c r="O235" s="66" t="str">
        <f>IF(K235="","",((K235*VLOOKUP(F235,Tabelle1!$A$2:$I$496,8,0))/$W$4))</f>
        <v/>
      </c>
      <c r="P235" s="76" t="str">
        <f>IF(K235="","",VLOOKUP(F235,Tabelle1!$A$2:$L$496,12,0))</f>
        <v/>
      </c>
    </row>
    <row r="236" spans="1:16">
      <c r="A236" s="67"/>
      <c r="B236" s="55"/>
      <c r="C236" s="55"/>
      <c r="D236" s="57" t="str">
        <f>IF(K236="","",VLOOKUP(F236,Tabelle1!$A$2:$C$496,3,0))</f>
        <v/>
      </c>
      <c r="E236" s="57" t="str">
        <f>IF(K236="","",VLOOKUP(F236,Tabelle1!$A$2:$M$496,13,0))</f>
        <v/>
      </c>
      <c r="F236" s="56"/>
      <c r="G236" s="57"/>
      <c r="H236" s="57"/>
      <c r="I236" s="57"/>
      <c r="J236" s="57"/>
      <c r="K236" s="57"/>
      <c r="L236" s="118" t="str">
        <f>IF(K236="","",VLOOKUP(F236,Tabelle1!$A$2:$I$496,9,0))</f>
        <v/>
      </c>
      <c r="M236" s="57" t="str">
        <f>IF(K236="","",VLOOKUP(F236,Tabelle1!$A$2:$G$496,7,0))</f>
        <v/>
      </c>
      <c r="N236" s="66" t="str">
        <f t="shared" si="6"/>
        <v/>
      </c>
      <c r="O236" s="66" t="str">
        <f>IF(K236="","",((K236*VLOOKUP(F236,Tabelle1!$A$2:$I$496,8,0))/$W$4))</f>
        <v/>
      </c>
      <c r="P236" s="76" t="str">
        <f>IF(K236="","",VLOOKUP(F236,Tabelle1!$A$2:$L$496,12,0))</f>
        <v/>
      </c>
    </row>
    <row r="237" spans="1:16">
      <c r="A237" s="67"/>
      <c r="B237" s="55"/>
      <c r="C237" s="55"/>
      <c r="D237" s="57" t="str">
        <f>IF(K237="","",VLOOKUP(F237,Tabelle1!$A$2:$C$496,3,0))</f>
        <v/>
      </c>
      <c r="E237" s="57" t="str">
        <f>IF(K237="","",VLOOKUP(F237,Tabelle1!$A$2:$M$496,13,0))</f>
        <v/>
      </c>
      <c r="F237" s="56"/>
      <c r="G237" s="57"/>
      <c r="H237" s="57"/>
      <c r="I237" s="57"/>
      <c r="J237" s="57"/>
      <c r="K237" s="57"/>
      <c r="L237" s="118" t="str">
        <f>IF(K237="","",VLOOKUP(F237,Tabelle1!$A$2:$I$496,9,0))</f>
        <v/>
      </c>
      <c r="M237" s="57" t="str">
        <f>IF(K237="","",VLOOKUP(F237,Tabelle1!$A$2:$G$496,7,0))</f>
        <v/>
      </c>
      <c r="N237" s="66" t="str">
        <f t="shared" si="6"/>
        <v/>
      </c>
      <c r="O237" s="66" t="str">
        <f>IF(K237="","",((K237*VLOOKUP(F237,Tabelle1!$A$2:$I$496,8,0))/$W$4))</f>
        <v/>
      </c>
      <c r="P237" s="76" t="str">
        <f>IF(K237="","",VLOOKUP(F237,Tabelle1!$A$2:$L$496,12,0))</f>
        <v/>
      </c>
    </row>
    <row r="238" spans="1:16">
      <c r="A238" s="67"/>
      <c r="B238" s="55"/>
      <c r="C238" s="55"/>
      <c r="D238" s="57" t="str">
        <f>IF(K238="","",VLOOKUP(F238,Tabelle1!$A$2:$C$496,3,0))</f>
        <v/>
      </c>
      <c r="E238" s="57" t="str">
        <f>IF(K238="","",VLOOKUP(F238,Tabelle1!$A$2:$M$496,13,0))</f>
        <v/>
      </c>
      <c r="F238" s="56"/>
      <c r="G238" s="57"/>
      <c r="H238" s="57"/>
      <c r="I238" s="57"/>
      <c r="J238" s="57"/>
      <c r="K238" s="57"/>
      <c r="L238" s="118" t="str">
        <f>IF(K238="","",VLOOKUP(F238,Tabelle1!$A$2:$I$496,9,0))</f>
        <v/>
      </c>
      <c r="M238" s="57" t="str">
        <f>IF(K238="","",VLOOKUP(F238,Tabelle1!$A$2:$G$496,7,0))</f>
        <v/>
      </c>
      <c r="N238" s="66" t="str">
        <f t="shared" si="6"/>
        <v/>
      </c>
      <c r="O238" s="66" t="str">
        <f>IF(K238="","",((K238*VLOOKUP(F238,Tabelle1!$A$2:$I$496,8,0))/$W$4))</f>
        <v/>
      </c>
      <c r="P238" s="76" t="str">
        <f>IF(K238="","",VLOOKUP(F238,Tabelle1!$A$2:$L$496,12,0))</f>
        <v/>
      </c>
    </row>
    <row r="239" spans="1:16">
      <c r="A239" s="67"/>
      <c r="B239" s="55"/>
      <c r="C239" s="55"/>
      <c r="D239" s="57" t="str">
        <f>IF(K239="","",VLOOKUP(F239,Tabelle1!$A$2:$C$496,3,0))</f>
        <v/>
      </c>
      <c r="E239" s="57" t="str">
        <f>IF(K239="","",VLOOKUP(F239,Tabelle1!$A$2:$M$496,13,0))</f>
        <v/>
      </c>
      <c r="F239" s="56"/>
      <c r="G239" s="57"/>
      <c r="H239" s="57"/>
      <c r="I239" s="57"/>
      <c r="J239" s="57"/>
      <c r="K239" s="57"/>
      <c r="L239" s="118" t="str">
        <f>IF(K239="","",VLOOKUP(F239,Tabelle1!$A$2:$I$496,9,0))</f>
        <v/>
      </c>
      <c r="M239" s="57" t="str">
        <f>IF(K239="","",VLOOKUP(F239,Tabelle1!$A$2:$G$496,7,0))</f>
        <v/>
      </c>
      <c r="N239" s="66" t="str">
        <f t="shared" si="6"/>
        <v/>
      </c>
      <c r="O239" s="66" t="str">
        <f>IF(K239="","",((K239*VLOOKUP(F239,Tabelle1!$A$2:$I$496,8,0))/$W$4))</f>
        <v/>
      </c>
      <c r="P239" s="76" t="str">
        <f>IF(K239="","",VLOOKUP(F239,Tabelle1!$A$2:$L$496,12,0))</f>
        <v/>
      </c>
    </row>
    <row r="240" spans="1:16">
      <c r="A240" s="67"/>
      <c r="B240" s="55"/>
      <c r="C240" s="55"/>
      <c r="D240" s="57" t="str">
        <f>IF(K240="","",VLOOKUP(F240,Tabelle1!$A$2:$C$496,3,0))</f>
        <v/>
      </c>
      <c r="E240" s="57" t="str">
        <f>IF(K240="","",VLOOKUP(F240,Tabelle1!$A$2:$M$496,13,0))</f>
        <v/>
      </c>
      <c r="F240" s="56"/>
      <c r="G240" s="57"/>
      <c r="H240" s="57"/>
      <c r="I240" s="57"/>
      <c r="J240" s="57"/>
      <c r="K240" s="57"/>
      <c r="L240" s="118" t="str">
        <f>IF(K240="","",VLOOKUP(F240,Tabelle1!$A$2:$I$496,9,0))</f>
        <v/>
      </c>
      <c r="M240" s="57" t="str">
        <f>IF(K240="","",VLOOKUP(F240,Tabelle1!$A$2:$G$496,7,0))</f>
        <v/>
      </c>
      <c r="N240" s="66" t="str">
        <f t="shared" si="6"/>
        <v/>
      </c>
      <c r="O240" s="66" t="str">
        <f>IF(K240="","",((K240*VLOOKUP(F240,Tabelle1!$A$2:$I$496,8,0))/$W$4))</f>
        <v/>
      </c>
      <c r="P240" s="76" t="str">
        <f>IF(K240="","",VLOOKUP(F240,Tabelle1!$A$2:$L$496,12,0))</f>
        <v/>
      </c>
    </row>
    <row r="241" spans="1:16">
      <c r="A241" s="67"/>
      <c r="B241" s="55"/>
      <c r="C241" s="55"/>
      <c r="D241" s="57" t="str">
        <f>IF(K241="","",VLOOKUP(F241,Tabelle1!$A$2:$C$496,3,0))</f>
        <v/>
      </c>
      <c r="E241" s="57" t="str">
        <f>IF(K241="","",VLOOKUP(F241,Tabelle1!$A$2:$M$496,13,0))</f>
        <v/>
      </c>
      <c r="F241" s="56"/>
      <c r="G241" s="57"/>
      <c r="H241" s="57"/>
      <c r="I241" s="57"/>
      <c r="J241" s="57"/>
      <c r="K241" s="57"/>
      <c r="L241" s="118" t="str">
        <f>IF(K241="","",VLOOKUP(F241,Tabelle1!$A$2:$I$496,9,0))</f>
        <v/>
      </c>
      <c r="M241" s="57" t="str">
        <f>IF(K241="","",VLOOKUP(F241,Tabelle1!$A$2:$G$496,7,0))</f>
        <v/>
      </c>
      <c r="N241" s="66" t="str">
        <f t="shared" si="6"/>
        <v/>
      </c>
      <c r="O241" s="66" t="str">
        <f>IF(K241="","",((K241*VLOOKUP(F241,Tabelle1!$A$2:$I$496,8,0))/$W$4))</f>
        <v/>
      </c>
      <c r="P241" s="76" t="str">
        <f>IF(K241="","",VLOOKUP(F241,Tabelle1!$A$2:$L$496,12,0))</f>
        <v/>
      </c>
    </row>
    <row r="242" spans="1:16">
      <c r="A242" s="67"/>
      <c r="B242" s="55"/>
      <c r="C242" s="55"/>
      <c r="D242" s="57" t="str">
        <f>IF(K242="","",VLOOKUP(F242,Tabelle1!$A$2:$C$496,3,0))</f>
        <v/>
      </c>
      <c r="E242" s="57" t="str">
        <f>IF(K242="","",VLOOKUP(F242,Tabelle1!$A$2:$M$496,13,0))</f>
        <v/>
      </c>
      <c r="F242" s="56"/>
      <c r="G242" s="57"/>
      <c r="H242" s="57"/>
      <c r="I242" s="57"/>
      <c r="J242" s="57"/>
      <c r="K242" s="57"/>
      <c r="L242" s="118" t="str">
        <f>IF(K242="","",VLOOKUP(F242,Tabelle1!$A$2:$I$496,9,0))</f>
        <v/>
      </c>
      <c r="M242" s="57" t="str">
        <f>IF(K242="","",VLOOKUP(F242,Tabelle1!$A$2:$G$496,7,0))</f>
        <v/>
      </c>
      <c r="N242" s="66" t="str">
        <f t="shared" si="6"/>
        <v/>
      </c>
      <c r="O242" s="66" t="str">
        <f>IF(K242="","",((K242*VLOOKUP(F242,Tabelle1!$A$2:$I$496,8,0))/$W$4))</f>
        <v/>
      </c>
      <c r="P242" s="76" t="str">
        <f>IF(K242="","",VLOOKUP(F242,Tabelle1!$A$2:$L$496,12,0))</f>
        <v/>
      </c>
    </row>
    <row r="243" spans="1:16">
      <c r="A243" s="67"/>
      <c r="B243" s="55"/>
      <c r="C243" s="55"/>
      <c r="D243" s="57" t="str">
        <f>IF(K243="","",VLOOKUP(F243,Tabelle1!$A$2:$C$496,3,0))</f>
        <v/>
      </c>
      <c r="E243" s="57" t="str">
        <f>IF(K243="","",VLOOKUP(F243,Tabelle1!$A$2:$M$496,13,0))</f>
        <v/>
      </c>
      <c r="F243" s="56"/>
      <c r="G243" s="57"/>
      <c r="H243" s="57"/>
      <c r="I243" s="57"/>
      <c r="J243" s="57"/>
      <c r="K243" s="57"/>
      <c r="L243" s="118" t="str">
        <f>IF(K243="","",VLOOKUP(F243,Tabelle1!$A$2:$I$496,9,0))</f>
        <v/>
      </c>
      <c r="M243" s="57" t="str">
        <f>IF(K243="","",VLOOKUP(F243,Tabelle1!$A$2:$G$496,7,0))</f>
        <v/>
      </c>
      <c r="N243" s="66" t="str">
        <f t="shared" si="6"/>
        <v/>
      </c>
      <c r="O243" s="66" t="str">
        <f>IF(K243="","",((K243*VLOOKUP(F243,Tabelle1!$A$2:$I$496,8,0))/$W$4))</f>
        <v/>
      </c>
      <c r="P243" s="76" t="str">
        <f>IF(K243="","",VLOOKUP(F243,Tabelle1!$A$2:$L$496,12,0))</f>
        <v/>
      </c>
    </row>
    <row r="244" spans="1:16">
      <c r="A244" s="67"/>
      <c r="B244" s="55"/>
      <c r="C244" s="55"/>
      <c r="D244" s="57" t="str">
        <f>IF(K244="","",VLOOKUP(F244,Tabelle1!$A$2:$C$496,3,0))</f>
        <v/>
      </c>
      <c r="E244" s="57" t="str">
        <f>IF(K244="","",VLOOKUP(F244,Tabelle1!$A$2:$M$496,13,0))</f>
        <v/>
      </c>
      <c r="F244" s="56"/>
      <c r="G244" s="57"/>
      <c r="H244" s="57"/>
      <c r="I244" s="57"/>
      <c r="J244" s="57"/>
      <c r="K244" s="57"/>
      <c r="L244" s="118" t="str">
        <f>IF(K244="","",VLOOKUP(F244,Tabelle1!$A$2:$I$496,9,0))</f>
        <v/>
      </c>
      <c r="M244" s="57" t="str">
        <f>IF(K244="","",VLOOKUP(F244,Tabelle1!$A$2:$G$496,7,0))</f>
        <v/>
      </c>
      <c r="N244" s="66" t="str">
        <f t="shared" si="6"/>
        <v/>
      </c>
      <c r="O244" s="66" t="str">
        <f>IF(K244="","",((K244*VLOOKUP(F244,Tabelle1!$A$2:$I$496,8,0))/$W$4))</f>
        <v/>
      </c>
      <c r="P244" s="76" t="str">
        <f>IF(K244="","",VLOOKUP(F244,Tabelle1!$A$2:$L$496,12,0))</f>
        <v/>
      </c>
    </row>
    <row r="245" spans="1:16">
      <c r="A245" s="67"/>
      <c r="B245" s="55"/>
      <c r="C245" s="55"/>
      <c r="D245" s="57" t="str">
        <f>IF(K245="","",VLOOKUP(F245,Tabelle1!$A$2:$C$496,3,0))</f>
        <v/>
      </c>
      <c r="E245" s="57" t="str">
        <f>IF(K245="","",VLOOKUP(F245,Tabelle1!$A$2:$M$496,13,0))</f>
        <v/>
      </c>
      <c r="F245" s="56"/>
      <c r="G245" s="57"/>
      <c r="H245" s="57"/>
      <c r="I245" s="57"/>
      <c r="J245" s="57"/>
      <c r="K245" s="57"/>
      <c r="L245" s="118" t="str">
        <f>IF(K245="","",VLOOKUP(F245,Tabelle1!$A$2:$I$496,9,0))</f>
        <v/>
      </c>
      <c r="M245" s="57" t="str">
        <f>IF(K245="","",VLOOKUP(F245,Tabelle1!$A$2:$G$496,7,0))</f>
        <v/>
      </c>
      <c r="N245" s="66" t="str">
        <f t="shared" si="6"/>
        <v/>
      </c>
      <c r="O245" s="66" t="str">
        <f>IF(K245="","",((K245*VLOOKUP(F245,Tabelle1!$A$2:$I$496,8,0))/$W$4))</f>
        <v/>
      </c>
      <c r="P245" s="76" t="str">
        <f>IF(K245="","",VLOOKUP(F245,Tabelle1!$A$2:$L$496,12,0))</f>
        <v/>
      </c>
    </row>
    <row r="246" spans="1:16">
      <c r="A246" s="67"/>
      <c r="B246" s="55"/>
      <c r="C246" s="55"/>
      <c r="D246" s="57" t="str">
        <f>IF(K246="","",VLOOKUP(F246,Tabelle1!$A$2:$C$496,3,0))</f>
        <v/>
      </c>
      <c r="E246" s="57" t="str">
        <f>IF(K246="","",VLOOKUP(F246,Tabelle1!$A$2:$M$496,13,0))</f>
        <v/>
      </c>
      <c r="F246" s="56"/>
      <c r="G246" s="57"/>
      <c r="H246" s="57"/>
      <c r="I246" s="57"/>
      <c r="J246" s="57"/>
      <c r="K246" s="57"/>
      <c r="L246" s="118" t="str">
        <f>IF(K246="","",VLOOKUP(F246,Tabelle1!$A$2:$I$496,9,0))</f>
        <v/>
      </c>
      <c r="M246" s="57" t="str">
        <f>IF(K246="","",VLOOKUP(F246,Tabelle1!$A$2:$G$496,7,0))</f>
        <v/>
      </c>
      <c r="N246" s="66" t="str">
        <f t="shared" si="6"/>
        <v/>
      </c>
      <c r="O246" s="66" t="str">
        <f>IF(K246="","",((K246*VLOOKUP(F246,Tabelle1!$A$2:$I$496,8,0))/$W$4))</f>
        <v/>
      </c>
      <c r="P246" s="76" t="str">
        <f>IF(K246="","",VLOOKUP(F246,Tabelle1!$A$2:$L$496,12,0))</f>
        <v/>
      </c>
    </row>
    <row r="247" spans="1:16">
      <c r="A247" s="67"/>
      <c r="B247" s="55"/>
      <c r="C247" s="55"/>
      <c r="D247" s="57" t="str">
        <f>IF(K247="","",VLOOKUP(F247,Tabelle1!$A$2:$C$496,3,0))</f>
        <v/>
      </c>
      <c r="E247" s="57" t="str">
        <f>IF(K247="","",VLOOKUP(F247,Tabelle1!$A$2:$M$496,13,0))</f>
        <v/>
      </c>
      <c r="F247" s="56"/>
      <c r="G247" s="57"/>
      <c r="H247" s="57"/>
      <c r="I247" s="57"/>
      <c r="J247" s="57"/>
      <c r="K247" s="57"/>
      <c r="L247" s="118" t="str">
        <f>IF(K247="","",VLOOKUP(F247,Tabelle1!$A$2:$I$496,9,0))</f>
        <v/>
      </c>
      <c r="M247" s="57" t="str">
        <f>IF(K247="","",VLOOKUP(F247,Tabelle1!$A$2:$G$496,7,0))</f>
        <v/>
      </c>
      <c r="N247" s="66" t="str">
        <f t="shared" si="6"/>
        <v/>
      </c>
      <c r="O247" s="66" t="str">
        <f>IF(K247="","",((K247*VLOOKUP(F247,Tabelle1!$A$2:$I$496,8,0))/$W$4))</f>
        <v/>
      </c>
      <c r="P247" s="76" t="str">
        <f>IF(K247="","",VLOOKUP(F247,Tabelle1!$A$2:$L$496,12,0))</f>
        <v/>
      </c>
    </row>
    <row r="248" spans="1:16">
      <c r="A248" s="67"/>
      <c r="B248" s="55"/>
      <c r="C248" s="55"/>
      <c r="D248" s="57" t="str">
        <f>IF(K248="","",VLOOKUP(F248,Tabelle1!$A$2:$C$496,3,0))</f>
        <v/>
      </c>
      <c r="E248" s="57" t="str">
        <f>IF(K248="","",VLOOKUP(F248,Tabelle1!$A$2:$M$496,13,0))</f>
        <v/>
      </c>
      <c r="F248" s="56"/>
      <c r="G248" s="57"/>
      <c r="H248" s="57"/>
      <c r="I248" s="57"/>
      <c r="J248" s="57"/>
      <c r="K248" s="57"/>
      <c r="L248" s="118" t="str">
        <f>IF(K248="","",VLOOKUP(F248,Tabelle1!$A$2:$I$496,9,0))</f>
        <v/>
      </c>
      <c r="M248" s="57" t="str">
        <f>IF(K248="","",VLOOKUP(F248,Tabelle1!$A$2:$G$496,7,0))</f>
        <v/>
      </c>
      <c r="N248" s="66" t="str">
        <f t="shared" si="6"/>
        <v/>
      </c>
      <c r="O248" s="66" t="str">
        <f>IF(K248="","",((K248*VLOOKUP(F248,Tabelle1!$A$2:$I$496,8,0))/$W$4))</f>
        <v/>
      </c>
      <c r="P248" s="76" t="str">
        <f>IF(K248="","",VLOOKUP(F248,Tabelle1!$A$2:$L$496,12,0))</f>
        <v/>
      </c>
    </row>
    <row r="249" spans="1:16">
      <c r="A249" s="67"/>
      <c r="B249" s="55"/>
      <c r="C249" s="55"/>
      <c r="D249" s="57" t="str">
        <f>IF(K249="","",VLOOKUP(F249,Tabelle1!$A$2:$C$496,3,0))</f>
        <v/>
      </c>
      <c r="E249" s="57" t="str">
        <f>IF(K249="","",VLOOKUP(F249,Tabelle1!$A$2:$M$496,13,0))</f>
        <v/>
      </c>
      <c r="F249" s="56"/>
      <c r="G249" s="57"/>
      <c r="H249" s="57"/>
      <c r="I249" s="57"/>
      <c r="J249" s="57"/>
      <c r="K249" s="57"/>
      <c r="L249" s="118" t="str">
        <f>IF(K249="","",VLOOKUP(F249,Tabelle1!$A$2:$I$496,9,0))</f>
        <v/>
      </c>
      <c r="M249" s="57" t="str">
        <f>IF(K249="","",VLOOKUP(F249,Tabelle1!$A$2:$G$496,7,0))</f>
        <v/>
      </c>
      <c r="N249" s="66" t="str">
        <f t="shared" si="6"/>
        <v/>
      </c>
      <c r="O249" s="66" t="str">
        <f>IF(K249="","",((K249*VLOOKUP(F249,Tabelle1!$A$2:$I$496,8,0))/$W$4))</f>
        <v/>
      </c>
      <c r="P249" s="76" t="str">
        <f>IF(K249="","",VLOOKUP(F249,Tabelle1!$A$2:$L$496,12,0))</f>
        <v/>
      </c>
    </row>
    <row r="250" spans="1:16">
      <c r="A250" s="67"/>
      <c r="B250" s="55"/>
      <c r="C250" s="55"/>
      <c r="D250" s="57" t="str">
        <f>IF(K250="","",VLOOKUP(F250,Tabelle1!$A$2:$C$496,3,0))</f>
        <v/>
      </c>
      <c r="E250" s="57" t="str">
        <f>IF(K250="","",VLOOKUP(F250,Tabelle1!$A$2:$M$496,13,0))</f>
        <v/>
      </c>
      <c r="F250" s="56"/>
      <c r="G250" s="57"/>
      <c r="H250" s="57"/>
      <c r="I250" s="57"/>
      <c r="J250" s="57"/>
      <c r="K250" s="57"/>
      <c r="L250" s="118" t="str">
        <f>IF(K250="","",VLOOKUP(F250,Tabelle1!$A$2:$I$496,9,0))</f>
        <v/>
      </c>
      <c r="M250" s="57" t="str">
        <f>IF(K250="","",VLOOKUP(F250,Tabelle1!$A$2:$G$496,7,0))</f>
        <v/>
      </c>
      <c r="N250" s="66" t="str">
        <f t="shared" si="6"/>
        <v/>
      </c>
      <c r="O250" s="66" t="str">
        <f>IF(K250="","",((K250*VLOOKUP(F250,Tabelle1!$A$2:$I$496,8,0))/$W$4))</f>
        <v/>
      </c>
      <c r="P250" s="76" t="str">
        <f>IF(K250="","",VLOOKUP(F250,Tabelle1!$A$2:$L$496,12,0))</f>
        <v/>
      </c>
    </row>
    <row r="251" spans="1:16">
      <c r="A251" s="67"/>
      <c r="B251" s="55"/>
      <c r="C251" s="55"/>
      <c r="D251" s="57" t="str">
        <f>IF(K251="","",VLOOKUP(F251,Tabelle1!$A$2:$C$496,3,0))</f>
        <v/>
      </c>
      <c r="E251" s="57" t="str">
        <f>IF(K251="","",VLOOKUP(F251,Tabelle1!$A$2:$M$496,13,0))</f>
        <v/>
      </c>
      <c r="F251" s="56"/>
      <c r="G251" s="57"/>
      <c r="H251" s="57"/>
      <c r="I251" s="57"/>
      <c r="J251" s="57"/>
      <c r="K251" s="57"/>
      <c r="L251" s="118" t="str">
        <f>IF(K251="","",VLOOKUP(F251,Tabelle1!$A$2:$I$496,9,0))</f>
        <v/>
      </c>
      <c r="M251" s="57" t="str">
        <f>IF(K251="","",VLOOKUP(F251,Tabelle1!$A$2:$G$496,7,0))</f>
        <v/>
      </c>
      <c r="N251" s="66" t="str">
        <f t="shared" si="6"/>
        <v/>
      </c>
      <c r="O251" s="66" t="str">
        <f>IF(K251="","",((K251*VLOOKUP(F251,Tabelle1!$A$2:$I$496,8,0))/$W$4))</f>
        <v/>
      </c>
      <c r="P251" s="76" t="str">
        <f>IF(K251="","",VLOOKUP(F251,Tabelle1!$A$2:$L$496,12,0))</f>
        <v/>
      </c>
    </row>
    <row r="252" spans="1:16">
      <c r="A252" s="67"/>
      <c r="B252" s="55"/>
      <c r="C252" s="55"/>
      <c r="D252" s="57" t="str">
        <f>IF(K252="","",VLOOKUP(F252,Tabelle1!$A$2:$C$496,3,0))</f>
        <v/>
      </c>
      <c r="E252" s="57" t="str">
        <f>IF(K252="","",VLOOKUP(F252,Tabelle1!$A$2:$M$496,13,0))</f>
        <v/>
      </c>
      <c r="F252" s="56"/>
      <c r="G252" s="57"/>
      <c r="H252" s="57"/>
      <c r="I252" s="57"/>
      <c r="J252" s="57"/>
      <c r="K252" s="57"/>
      <c r="L252" s="118" t="str">
        <f>IF(K252="","",VLOOKUP(F252,Tabelle1!$A$2:$I$496,9,0))</f>
        <v/>
      </c>
      <c r="M252" s="57" t="str">
        <f>IF(K252="","",VLOOKUP(F252,Tabelle1!$A$2:$G$496,7,0))</f>
        <v/>
      </c>
      <c r="N252" s="66" t="str">
        <f t="shared" si="6"/>
        <v/>
      </c>
      <c r="O252" s="66" t="str">
        <f>IF(K252="","",((K252*VLOOKUP(F252,Tabelle1!$A$2:$I$496,8,0))/$W$4))</f>
        <v/>
      </c>
      <c r="P252" s="76" t="str">
        <f>IF(K252="","",VLOOKUP(F252,Tabelle1!$A$2:$L$496,12,0))</f>
        <v/>
      </c>
    </row>
    <row r="253" spans="1:16">
      <c r="A253" s="67"/>
      <c r="B253" s="55"/>
      <c r="C253" s="55"/>
      <c r="D253" s="57" t="str">
        <f>IF(K253="","",VLOOKUP(F253,Tabelle1!$A$2:$C$496,3,0))</f>
        <v/>
      </c>
      <c r="E253" s="57" t="str">
        <f>IF(K253="","",VLOOKUP(F253,Tabelle1!$A$2:$M$496,13,0))</f>
        <v/>
      </c>
      <c r="F253" s="56"/>
      <c r="G253" s="57"/>
      <c r="H253" s="57"/>
      <c r="I253" s="57"/>
      <c r="J253" s="57"/>
      <c r="K253" s="57"/>
      <c r="L253" s="118" t="str">
        <f>IF(K253="","",VLOOKUP(F253,Tabelle1!$A$2:$I$496,9,0))</f>
        <v/>
      </c>
      <c r="M253" s="57" t="str">
        <f>IF(K253="","",VLOOKUP(F253,Tabelle1!$A$2:$G$496,7,0))</f>
        <v/>
      </c>
      <c r="N253" s="66" t="str">
        <f t="shared" si="6"/>
        <v/>
      </c>
      <c r="O253" s="66" t="str">
        <f>IF(K253="","",((K253*VLOOKUP(F253,Tabelle1!$A$2:$I$496,8,0))/$W$4))</f>
        <v/>
      </c>
      <c r="P253" s="76" t="str">
        <f>IF(K253="","",VLOOKUP(F253,Tabelle1!$A$2:$L$496,12,0))</f>
        <v/>
      </c>
    </row>
    <row r="254" spans="1:16">
      <c r="A254" s="67"/>
      <c r="B254" s="55"/>
      <c r="C254" s="55"/>
      <c r="D254" s="57" t="str">
        <f>IF(K254="","",VLOOKUP(F254,Tabelle1!$A$2:$C$496,3,0))</f>
        <v/>
      </c>
      <c r="E254" s="57" t="str">
        <f>IF(K254="","",VLOOKUP(F254,Tabelle1!$A$2:$M$496,13,0))</f>
        <v/>
      </c>
      <c r="F254" s="56"/>
      <c r="G254" s="57"/>
      <c r="H254" s="57"/>
      <c r="I254" s="57"/>
      <c r="J254" s="57"/>
      <c r="K254" s="57"/>
      <c r="L254" s="118" t="str">
        <f>IF(K254="","",VLOOKUP(F254,Tabelle1!$A$2:$I$496,9,0))</f>
        <v/>
      </c>
      <c r="M254" s="57" t="str">
        <f>IF(K254="","",VLOOKUP(F254,Tabelle1!$A$2:$G$496,7,0))</f>
        <v/>
      </c>
      <c r="N254" s="66" t="str">
        <f t="shared" si="6"/>
        <v/>
      </c>
      <c r="O254" s="66" t="str">
        <f>IF(K254="","",((K254*VLOOKUP(F254,Tabelle1!$A$2:$I$496,8,0))/$W$4))</f>
        <v/>
      </c>
      <c r="P254" s="76" t="str">
        <f>IF(K254="","",VLOOKUP(F254,Tabelle1!$A$2:$L$496,12,0))</f>
        <v/>
      </c>
    </row>
    <row r="255" spans="1:16">
      <c r="A255" s="67"/>
      <c r="B255" s="55"/>
      <c r="C255" s="55"/>
      <c r="D255" s="57" t="str">
        <f>IF(K255="","",VLOOKUP(F255,Tabelle1!$A$2:$C$496,3,0))</f>
        <v/>
      </c>
      <c r="E255" s="57" t="str">
        <f>IF(K255="","",VLOOKUP(F255,Tabelle1!$A$2:$M$496,13,0))</f>
        <v/>
      </c>
      <c r="F255" s="56"/>
      <c r="G255" s="57"/>
      <c r="H255" s="57"/>
      <c r="I255" s="57"/>
      <c r="J255" s="57"/>
      <c r="K255" s="57"/>
      <c r="L255" s="118" t="str">
        <f>IF(K255="","",VLOOKUP(F255,Tabelle1!$A$2:$I$496,9,0))</f>
        <v/>
      </c>
      <c r="M255" s="57" t="str">
        <f>IF(K255="","",VLOOKUP(F255,Tabelle1!$A$2:$G$496,7,0))</f>
        <v/>
      </c>
      <c r="N255" s="66" t="str">
        <f t="shared" si="6"/>
        <v/>
      </c>
      <c r="O255" s="66" t="str">
        <f>IF(K255="","",((K255*VLOOKUP(F255,Tabelle1!$A$2:$I$496,8,0))/$W$4))</f>
        <v/>
      </c>
      <c r="P255" s="76" t="str">
        <f>IF(K255="","",VLOOKUP(F255,Tabelle1!$A$2:$L$496,12,0))</f>
        <v/>
      </c>
    </row>
    <row r="256" spans="1:16">
      <c r="A256" s="67"/>
      <c r="B256" s="55"/>
      <c r="C256" s="55"/>
      <c r="D256" s="57" t="str">
        <f>IF(K256="","",VLOOKUP(F256,Tabelle1!$A$2:$C$496,3,0))</f>
        <v/>
      </c>
      <c r="E256" s="57" t="str">
        <f>IF(K256="","",VLOOKUP(F256,Tabelle1!$A$2:$M$496,13,0))</f>
        <v/>
      </c>
      <c r="F256" s="56"/>
      <c r="G256" s="57"/>
      <c r="H256" s="57"/>
      <c r="I256" s="57"/>
      <c r="J256" s="57"/>
      <c r="K256" s="57"/>
      <c r="L256" s="118" t="str">
        <f>IF(K256="","",VLOOKUP(F256,Tabelle1!$A$2:$I$496,9,0))</f>
        <v/>
      </c>
      <c r="M256" s="57" t="str">
        <f>IF(K256="","",VLOOKUP(F256,Tabelle1!$A$2:$G$496,7,0))</f>
        <v/>
      </c>
      <c r="N256" s="66" t="str">
        <f t="shared" si="6"/>
        <v/>
      </c>
      <c r="O256" s="66" t="str">
        <f>IF(K256="","",((K256*VLOOKUP(F256,Tabelle1!$A$2:$I$496,8,0))/$W$4))</f>
        <v/>
      </c>
      <c r="P256" s="76" t="str">
        <f>IF(K256="","",VLOOKUP(F256,Tabelle1!$A$2:$L$496,12,0))</f>
        <v/>
      </c>
    </row>
    <row r="257" spans="1:16">
      <c r="A257" s="67"/>
      <c r="B257" s="55"/>
      <c r="C257" s="55"/>
      <c r="D257" s="57" t="str">
        <f>IF(K257="","",VLOOKUP(F257,Tabelle1!$A$2:$C$496,3,0))</f>
        <v/>
      </c>
      <c r="E257" s="57" t="str">
        <f>IF(K257="","",VLOOKUP(F257,Tabelle1!$A$2:$M$496,13,0))</f>
        <v/>
      </c>
      <c r="F257" s="56"/>
      <c r="G257" s="57"/>
      <c r="H257" s="57"/>
      <c r="I257" s="57"/>
      <c r="J257" s="57"/>
      <c r="K257" s="57"/>
      <c r="L257" s="118" t="str">
        <f>IF(K257="","",VLOOKUP(F257,Tabelle1!$A$2:$I$496,9,0))</f>
        <v/>
      </c>
      <c r="M257" s="57" t="str">
        <f>IF(K257="","",VLOOKUP(F257,Tabelle1!$A$2:$G$496,7,0))</f>
        <v/>
      </c>
      <c r="N257" s="66" t="str">
        <f t="shared" si="6"/>
        <v/>
      </c>
      <c r="O257" s="66" t="str">
        <f>IF(K257="","",((K257*VLOOKUP(F257,Tabelle1!$A$2:$I$496,8,0))/$W$4))</f>
        <v/>
      </c>
      <c r="P257" s="76" t="str">
        <f>IF(K257="","",VLOOKUP(F257,Tabelle1!$A$2:$L$496,12,0))</f>
        <v/>
      </c>
    </row>
    <row r="258" spans="1:16">
      <c r="A258" s="67"/>
      <c r="B258" s="55"/>
      <c r="C258" s="55"/>
      <c r="D258" s="57" t="str">
        <f>IF(K258="","",VLOOKUP(F258,Tabelle1!$A$2:$C$496,3,0))</f>
        <v/>
      </c>
      <c r="E258" s="57" t="str">
        <f>IF(K258="","",VLOOKUP(F258,Tabelle1!$A$2:$M$496,13,0))</f>
        <v/>
      </c>
      <c r="F258" s="56"/>
      <c r="G258" s="57"/>
      <c r="H258" s="57"/>
      <c r="I258" s="57"/>
      <c r="J258" s="57"/>
      <c r="K258" s="57"/>
      <c r="L258" s="118" t="str">
        <f>IF(K258="","",VLOOKUP(F258,Tabelle1!$A$2:$I$496,9,0))</f>
        <v/>
      </c>
      <c r="M258" s="57" t="str">
        <f>IF(K258="","",VLOOKUP(F258,Tabelle1!$A$2:$G$496,7,0))</f>
        <v/>
      </c>
      <c r="N258" s="66" t="str">
        <f t="shared" si="6"/>
        <v/>
      </c>
      <c r="O258" s="66" t="str">
        <f>IF(K258="","",((K258*VLOOKUP(F258,Tabelle1!$A$2:$I$496,8,0))/$W$4))</f>
        <v/>
      </c>
      <c r="P258" s="76" t="str">
        <f>IF(K258="","",VLOOKUP(F258,Tabelle1!$A$2:$L$496,12,0))</f>
        <v/>
      </c>
    </row>
    <row r="259" spans="1:16">
      <c r="A259" s="67"/>
      <c r="B259" s="55"/>
      <c r="C259" s="55"/>
      <c r="D259" s="57" t="str">
        <f>IF(K259="","",VLOOKUP(F259,Tabelle1!$A$2:$C$496,3,0))</f>
        <v/>
      </c>
      <c r="E259" s="57" t="str">
        <f>IF(K259="","",VLOOKUP(F259,Tabelle1!$A$2:$M$496,13,0))</f>
        <v/>
      </c>
      <c r="F259" s="56"/>
      <c r="G259" s="57"/>
      <c r="H259" s="57"/>
      <c r="I259" s="57"/>
      <c r="J259" s="57"/>
      <c r="K259" s="57"/>
      <c r="L259" s="118" t="str">
        <f>IF(K259="","",VLOOKUP(F259,Tabelle1!$A$2:$I$496,9,0))</f>
        <v/>
      </c>
      <c r="M259" s="57" t="str">
        <f>IF(K259="","",VLOOKUP(F259,Tabelle1!$A$2:$G$496,7,0))</f>
        <v/>
      </c>
      <c r="N259" s="66" t="str">
        <f t="shared" si="6"/>
        <v/>
      </c>
      <c r="O259" s="66" t="str">
        <f>IF(K259="","",((K259*VLOOKUP(F259,Tabelle1!$A$2:$I$496,8,0))/$W$4))</f>
        <v/>
      </c>
      <c r="P259" s="76" t="str">
        <f>IF(K259="","",VLOOKUP(F259,Tabelle1!$A$2:$L$496,12,0))</f>
        <v/>
      </c>
    </row>
    <row r="260" spans="1:16">
      <c r="A260" s="67"/>
      <c r="B260" s="55"/>
      <c r="C260" s="55"/>
      <c r="D260" s="57" t="str">
        <f>IF(K260="","",VLOOKUP(F260,Tabelle1!$A$2:$C$496,3,0))</f>
        <v/>
      </c>
      <c r="E260" s="57" t="str">
        <f>IF(K260="","",VLOOKUP(F260,Tabelle1!$A$2:$M$496,13,0))</f>
        <v/>
      </c>
      <c r="F260" s="56"/>
      <c r="G260" s="57"/>
      <c r="H260" s="57"/>
      <c r="I260" s="57"/>
      <c r="J260" s="57"/>
      <c r="K260" s="57"/>
      <c r="L260" s="118" t="str">
        <f>IF(K260="","",VLOOKUP(F260,Tabelle1!$A$2:$I$496,9,0))</f>
        <v/>
      </c>
      <c r="M260" s="57" t="str">
        <f>IF(K260="","",VLOOKUP(F260,Tabelle1!$A$2:$G$496,7,0))</f>
        <v/>
      </c>
      <c r="N260" s="66" t="str">
        <f t="shared" si="6"/>
        <v/>
      </c>
      <c r="O260" s="66" t="str">
        <f>IF(K260="","",((K260*VLOOKUP(F260,Tabelle1!$A$2:$I$496,8,0))/$W$4))</f>
        <v/>
      </c>
      <c r="P260" s="76" t="str">
        <f>IF(K260="","",VLOOKUP(F260,Tabelle1!$A$2:$L$496,12,0))</f>
        <v/>
      </c>
    </row>
    <row r="261" spans="1:16">
      <c r="A261" s="67"/>
      <c r="B261" s="55"/>
      <c r="C261" s="55"/>
      <c r="D261" s="57" t="str">
        <f>IF(K261="","",VLOOKUP(F261,Tabelle1!$A$2:$C$496,3,0))</f>
        <v/>
      </c>
      <c r="E261" s="57" t="str">
        <f>IF(K261="","",VLOOKUP(F261,Tabelle1!$A$2:$M$496,13,0))</f>
        <v/>
      </c>
      <c r="F261" s="56"/>
      <c r="G261" s="57"/>
      <c r="H261" s="57"/>
      <c r="I261" s="57"/>
      <c r="J261" s="57"/>
      <c r="K261" s="57"/>
      <c r="L261" s="118" t="str">
        <f>IF(K261="","",VLOOKUP(F261,Tabelle1!$A$2:$I$496,9,0))</f>
        <v/>
      </c>
      <c r="M261" s="57" t="str">
        <f>IF(K261="","",VLOOKUP(F261,Tabelle1!$A$2:$G$496,7,0))</f>
        <v/>
      </c>
      <c r="N261" s="66" t="str">
        <f t="shared" ref="N261:N265" si="7">IF(M261&gt;0,O261,"")</f>
        <v/>
      </c>
      <c r="O261" s="66" t="str">
        <f>IF(K261="","",((K261*VLOOKUP(F261,Tabelle1!$A$2:$I$496,8,0))/$W$4))</f>
        <v/>
      </c>
      <c r="P261" s="76" t="str">
        <f>IF(K261="","",VLOOKUP(F261,Tabelle1!$A$2:$L$496,12,0))</f>
        <v/>
      </c>
    </row>
    <row r="262" spans="1:16">
      <c r="A262" s="67"/>
      <c r="B262" s="55"/>
      <c r="C262" s="55"/>
      <c r="D262" s="57" t="str">
        <f>IF(K262="","",VLOOKUP(F262,Tabelle1!$A$2:$C$496,3,0))</f>
        <v/>
      </c>
      <c r="E262" s="57" t="str">
        <f>IF(K262="","",VLOOKUP(F262,Tabelle1!$A$2:$M$496,13,0))</f>
        <v/>
      </c>
      <c r="F262" s="56"/>
      <c r="G262" s="57"/>
      <c r="H262" s="57"/>
      <c r="I262" s="57"/>
      <c r="J262" s="57"/>
      <c r="K262" s="57"/>
      <c r="L262" s="118" t="str">
        <f>IF(K262="","",VLOOKUP(F262,Tabelle1!$A$2:$I$496,9,0))</f>
        <v/>
      </c>
      <c r="M262" s="57" t="str">
        <f>IF(K262="","",VLOOKUP(F262,Tabelle1!$A$2:$G$496,7,0))</f>
        <v/>
      </c>
      <c r="N262" s="66" t="str">
        <f t="shared" si="7"/>
        <v/>
      </c>
      <c r="O262" s="66" t="str">
        <f>IF(K262="","",((K262*VLOOKUP(F262,Tabelle1!$A$2:$I$496,8,0))/$W$4))</f>
        <v/>
      </c>
      <c r="P262" s="76" t="str">
        <f>IF(K262="","",VLOOKUP(F262,Tabelle1!$A$2:$L$496,12,0))</f>
        <v/>
      </c>
    </row>
    <row r="263" spans="1:16">
      <c r="A263" s="67"/>
      <c r="B263" s="55"/>
      <c r="C263" s="55"/>
      <c r="D263" s="57" t="str">
        <f>IF(K263="","",VLOOKUP(F263,Tabelle1!$A$2:$C$496,3,0))</f>
        <v/>
      </c>
      <c r="E263" s="57" t="str">
        <f>IF(K263="","",VLOOKUP(F263,Tabelle1!$A$2:$M$496,13,0))</f>
        <v/>
      </c>
      <c r="F263" s="56"/>
      <c r="G263" s="57"/>
      <c r="H263" s="57"/>
      <c r="I263" s="57"/>
      <c r="J263" s="57"/>
      <c r="K263" s="57"/>
      <c r="L263" s="118" t="str">
        <f>IF(K263="","",VLOOKUP(F263,Tabelle1!$A$2:$I$496,9,0))</f>
        <v/>
      </c>
      <c r="M263" s="57" t="str">
        <f>IF(K263="","",VLOOKUP(F263,Tabelle1!$A$2:$G$496,7,0))</f>
        <v/>
      </c>
      <c r="N263" s="66" t="str">
        <f t="shared" si="7"/>
        <v/>
      </c>
      <c r="O263" s="66" t="str">
        <f>IF(K263="","",((K263*VLOOKUP(F263,Tabelle1!$A$2:$I$496,8,0))/$W$4))</f>
        <v/>
      </c>
      <c r="P263" s="76" t="str">
        <f>IF(K263="","",VLOOKUP(F263,Tabelle1!$A$2:$L$496,12,0))</f>
        <v/>
      </c>
    </row>
    <row r="264" spans="1:16">
      <c r="A264" s="67"/>
      <c r="B264" s="55"/>
      <c r="C264" s="55"/>
      <c r="D264" s="57" t="str">
        <f>IF(K264="","",VLOOKUP(F264,Tabelle1!$A$2:$C$496,3,0))</f>
        <v/>
      </c>
      <c r="E264" s="57" t="str">
        <f>IF(K264="","",VLOOKUP(F264,Tabelle1!$A$2:$M$496,13,0))</f>
        <v/>
      </c>
      <c r="F264" s="56"/>
      <c r="G264" s="57"/>
      <c r="H264" s="57"/>
      <c r="I264" s="57"/>
      <c r="J264" s="57"/>
      <c r="K264" s="57"/>
      <c r="L264" s="118" t="str">
        <f>IF(K264="","",VLOOKUP(F264,Tabelle1!$A$2:$I$496,9,0))</f>
        <v/>
      </c>
      <c r="M264" s="57" t="str">
        <f>IF(K264="","",VLOOKUP(F264,Tabelle1!$A$2:$G$496,7,0))</f>
        <v/>
      </c>
      <c r="N264" s="66" t="str">
        <f t="shared" si="7"/>
        <v/>
      </c>
      <c r="O264" s="66" t="str">
        <f>IF(K264="","",((K264*VLOOKUP(F264,Tabelle1!$A$2:$I$496,8,0))/$W$4))</f>
        <v/>
      </c>
      <c r="P264" s="76" t="str">
        <f>IF(K264="","",VLOOKUP(F264,Tabelle1!$A$2:$L$496,12,0))</f>
        <v/>
      </c>
    </row>
    <row r="265" spans="1:16">
      <c r="A265" s="67"/>
      <c r="B265" s="55"/>
      <c r="C265" s="55"/>
      <c r="D265" s="57" t="str">
        <f>IF(K265="","",VLOOKUP(F265,Tabelle1!$A$2:$C$496,3,0))</f>
        <v/>
      </c>
      <c r="E265" s="57" t="str">
        <f>IF(K265="","",VLOOKUP(F265,Tabelle1!$A$2:$M$496,13,0))</f>
        <v/>
      </c>
      <c r="F265" s="56"/>
      <c r="G265" s="57"/>
      <c r="H265" s="57"/>
      <c r="I265" s="57"/>
      <c r="J265" s="57"/>
      <c r="K265" s="57"/>
      <c r="L265" s="118" t="str">
        <f>IF(K265="","",VLOOKUP(F265,Tabelle1!$A$2:$I$496,9,0))</f>
        <v/>
      </c>
      <c r="M265" s="57" t="str">
        <f>IF(K265="","",VLOOKUP(F265,Tabelle1!$A$2:$G$496,7,0))</f>
        <v/>
      </c>
      <c r="N265" s="66" t="str">
        <f t="shared" si="7"/>
        <v/>
      </c>
      <c r="O265" s="66" t="str">
        <f>IF(K265="","",((K265*VLOOKUP(F265,Tabelle1!$A$2:$I$496,8,0))/$W$4))</f>
        <v/>
      </c>
      <c r="P265" s="76" t="str">
        <f>IF(K265="","",VLOOKUP(F265,Tabelle1!$A$2:$L$496,12,0))</f>
        <v/>
      </c>
    </row>
  </sheetData>
  <mergeCells count="13">
    <mergeCell ref="R11:S11"/>
    <mergeCell ref="R3:S3"/>
    <mergeCell ref="R7:S7"/>
    <mergeCell ref="R8:S8"/>
    <mergeCell ref="R9:S9"/>
    <mergeCell ref="R10:S10"/>
    <mergeCell ref="S45:T45"/>
    <mergeCell ref="R12:S12"/>
    <mergeCell ref="R13:S13"/>
    <mergeCell ref="R14:S14"/>
    <mergeCell ref="R15:S15"/>
    <mergeCell ref="R16:S16"/>
    <mergeCell ref="R42:S42"/>
  </mergeCells>
  <conditionalFormatting sqref="D4:E265 M4:P265 S44">
    <cfRule type="containsBlanks" dxfId="318" priority="322">
      <formula>LEN(TRIM(D4))=0</formula>
    </cfRule>
  </conditionalFormatting>
  <conditionalFormatting sqref="F4">
    <cfRule type="duplicateValues" dxfId="317" priority="284"/>
    <cfRule type="duplicateValues" dxfId="316" priority="299"/>
    <cfRule type="duplicateValues" dxfId="315" priority="287"/>
    <cfRule type="duplicateValues" dxfId="314" priority="304"/>
    <cfRule type="duplicateValues" dxfId="313" priority="307"/>
    <cfRule type="duplicateValues" dxfId="312" priority="294"/>
    <cfRule type="duplicateValues" dxfId="311" priority="273"/>
    <cfRule type="duplicateValues" dxfId="310" priority="275"/>
    <cfRule type="duplicateValues" dxfId="309" priority="291"/>
    <cfRule type="duplicateValues" dxfId="308" priority="267"/>
    <cfRule type="duplicateValues" dxfId="307" priority="301"/>
  </conditionalFormatting>
  <conditionalFormatting sqref="F5">
    <cfRule type="duplicateValues" dxfId="306" priority="298"/>
    <cfRule type="duplicateValues" dxfId="305" priority="269"/>
    <cfRule type="duplicateValues" dxfId="304" priority="268"/>
    <cfRule type="duplicateValues" dxfId="303" priority="266"/>
    <cfRule type="duplicateValues" dxfId="302" priority="293"/>
    <cfRule type="duplicateValues" dxfId="301" priority="300"/>
    <cfRule type="duplicateValues" dxfId="300" priority="265"/>
    <cfRule type="duplicateValues" dxfId="299" priority="289"/>
    <cfRule type="duplicateValues" dxfId="298" priority="264"/>
    <cfRule type="duplicateValues" dxfId="297" priority="286"/>
    <cfRule type="duplicateValues" dxfId="296" priority="262"/>
    <cfRule type="duplicateValues" dxfId="295" priority="303"/>
    <cfRule type="duplicateValues" dxfId="294" priority="283"/>
    <cfRule type="duplicateValues" dxfId="293" priority="263"/>
    <cfRule type="duplicateValues" dxfId="292" priority="306"/>
    <cfRule type="duplicateValues" dxfId="291" priority="274"/>
    <cfRule type="duplicateValues" dxfId="290" priority="272"/>
    <cfRule type="duplicateValues" dxfId="289" priority="271"/>
    <cfRule type="duplicateValues" dxfId="288" priority="270"/>
  </conditionalFormatting>
  <conditionalFormatting sqref="F6">
    <cfRule type="duplicateValues" dxfId="287" priority="297"/>
    <cfRule type="duplicateValues" dxfId="286" priority="234"/>
    <cfRule type="duplicateValues" dxfId="285" priority="290"/>
    <cfRule type="duplicateValues" dxfId="284" priority="285"/>
    <cfRule type="duplicateValues" dxfId="283" priority="292"/>
    <cfRule type="duplicateValues" dxfId="282" priority="261"/>
    <cfRule type="duplicateValues" dxfId="281" priority="305"/>
    <cfRule type="duplicateValues" dxfId="280" priority="231"/>
    <cfRule type="duplicateValues" dxfId="279" priority="258"/>
    <cfRule type="duplicateValues" dxfId="278" priority="230"/>
    <cfRule type="duplicateValues" dxfId="277" priority="232"/>
    <cfRule type="duplicateValues" dxfId="276" priority="282"/>
    <cfRule type="duplicateValues" dxfId="275" priority="228"/>
    <cfRule type="duplicateValues" dxfId="274" priority="249"/>
    <cfRule type="duplicateValues" dxfId="273" priority="229"/>
    <cfRule type="duplicateValues" dxfId="272" priority="235"/>
    <cfRule type="duplicateValues" dxfId="271" priority="227"/>
    <cfRule type="duplicateValues" dxfId="270" priority="226"/>
    <cfRule type="duplicateValues" dxfId="269" priority="233"/>
    <cfRule type="duplicateValues" dxfId="268" priority="302"/>
    <cfRule type="duplicateValues" dxfId="267" priority="236"/>
  </conditionalFormatting>
  <conditionalFormatting sqref="F7">
    <cfRule type="duplicateValues" dxfId="266" priority="296"/>
    <cfRule type="duplicateValues" dxfId="265" priority="288"/>
    <cfRule type="duplicateValues" dxfId="264" priority="260"/>
    <cfRule type="duplicateValues" dxfId="263" priority="257"/>
    <cfRule type="duplicateValues" dxfId="262" priority="248"/>
    <cfRule type="duplicateValues" dxfId="261" priority="246"/>
    <cfRule type="duplicateValues" dxfId="260" priority="245"/>
    <cfRule type="duplicateValues" dxfId="259" priority="244"/>
    <cfRule type="duplicateValues" dxfId="258" priority="281"/>
    <cfRule type="duplicateValues" dxfId="257" priority="237"/>
  </conditionalFormatting>
  <conditionalFormatting sqref="F7:F11">
    <cfRule type="duplicateValues" dxfId="256" priority="250"/>
    <cfRule type="duplicateValues" dxfId="255" priority="252"/>
    <cfRule type="duplicateValues" dxfId="254" priority="253"/>
    <cfRule type="duplicateValues" dxfId="253" priority="251"/>
  </conditionalFormatting>
  <conditionalFormatting sqref="F8">
    <cfRule type="duplicateValues" dxfId="252" priority="295"/>
    <cfRule type="duplicateValues" dxfId="251" priority="280"/>
    <cfRule type="duplicateValues" dxfId="250" priority="219"/>
    <cfRule type="duplicateValues" dxfId="249" priority="259"/>
    <cfRule type="duplicateValues" dxfId="248" priority="256"/>
    <cfRule type="duplicateValues" dxfId="247" priority="247"/>
    <cfRule type="duplicateValues" dxfId="246" priority="243"/>
    <cfRule type="duplicateValues" dxfId="245" priority="242"/>
    <cfRule type="duplicateValues" dxfId="244" priority="241"/>
    <cfRule type="duplicateValues" dxfId="243" priority="225"/>
    <cfRule type="duplicateValues" dxfId="242" priority="224"/>
    <cfRule type="duplicateValues" dxfId="241" priority="223"/>
    <cfRule type="duplicateValues" dxfId="240" priority="222"/>
    <cfRule type="duplicateValues" dxfId="239" priority="221"/>
    <cfRule type="duplicateValues" dxfId="238" priority="220"/>
  </conditionalFormatting>
  <conditionalFormatting sqref="F9">
    <cfRule type="duplicateValues" dxfId="237" priority="214"/>
    <cfRule type="duplicateValues" dxfId="236" priority="218"/>
    <cfRule type="duplicateValues" dxfId="235" priority="217"/>
    <cfRule type="duplicateValues" dxfId="234" priority="216"/>
    <cfRule type="duplicateValues" dxfId="233" priority="215"/>
    <cfRule type="duplicateValues" dxfId="232" priority="213"/>
    <cfRule type="duplicateValues" dxfId="231" priority="212"/>
    <cfRule type="duplicateValues" dxfId="230" priority="279"/>
    <cfRule type="duplicateValues" dxfId="229" priority="239"/>
    <cfRule type="duplicateValues" dxfId="228" priority="238"/>
    <cfRule type="duplicateValues" dxfId="227" priority="255"/>
    <cfRule type="duplicateValues" dxfId="226" priority="240"/>
  </conditionalFormatting>
  <conditionalFormatting sqref="F10">
    <cfRule type="duplicateValues" dxfId="225" priority="278"/>
    <cfRule type="duplicateValues" dxfId="224" priority="211"/>
    <cfRule type="duplicateValues" dxfId="223" priority="210"/>
    <cfRule type="duplicateValues" dxfId="222" priority="209"/>
    <cfRule type="duplicateValues" dxfId="221" priority="208"/>
    <cfRule type="duplicateValues" dxfId="220" priority="207"/>
    <cfRule type="duplicateValues" dxfId="219" priority="206"/>
    <cfRule type="duplicateValues" dxfId="218" priority="205"/>
    <cfRule type="duplicateValues" dxfId="217" priority="254"/>
  </conditionalFormatting>
  <conditionalFormatting sqref="F11">
    <cfRule type="duplicateValues" dxfId="216" priority="198"/>
    <cfRule type="duplicateValues" dxfId="215" priority="277"/>
    <cfRule type="duplicateValues" dxfId="214" priority="199"/>
    <cfRule type="duplicateValues" dxfId="213" priority="204"/>
    <cfRule type="duplicateValues" dxfId="212" priority="203"/>
    <cfRule type="duplicateValues" dxfId="211" priority="202"/>
    <cfRule type="duplicateValues" dxfId="210" priority="201"/>
    <cfRule type="duplicateValues" dxfId="209" priority="200"/>
  </conditionalFormatting>
  <conditionalFormatting sqref="F12">
    <cfRule type="duplicateValues" dxfId="208" priority="194"/>
    <cfRule type="duplicateValues" dxfId="207" priority="169"/>
    <cfRule type="duplicateValues" dxfId="206" priority="168"/>
    <cfRule type="duplicateValues" dxfId="205" priority="167"/>
    <cfRule type="duplicateValues" dxfId="204" priority="186"/>
    <cfRule type="duplicateValues" dxfId="203" priority="165"/>
    <cfRule type="duplicateValues" dxfId="202" priority="164"/>
    <cfRule type="duplicateValues" dxfId="201" priority="163"/>
    <cfRule type="duplicateValues" dxfId="200" priority="171"/>
    <cfRule type="duplicateValues" dxfId="199" priority="173"/>
    <cfRule type="duplicateValues" dxfId="198" priority="197"/>
    <cfRule type="duplicateValues" dxfId="197" priority="172"/>
    <cfRule type="duplicateValues" dxfId="196" priority="170"/>
    <cfRule type="duplicateValues" dxfId="195" priority="276"/>
    <cfRule type="duplicateValues" dxfId="194" priority="166"/>
  </conditionalFormatting>
  <conditionalFormatting sqref="F13">
    <cfRule type="duplicateValues" dxfId="193" priority="183"/>
    <cfRule type="duplicateValues" dxfId="192" priority="181"/>
    <cfRule type="duplicateValues" dxfId="191" priority="145"/>
    <cfRule type="duplicateValues" dxfId="190" priority="196"/>
    <cfRule type="duplicateValues" dxfId="189" priority="193"/>
    <cfRule type="duplicateValues" dxfId="188" priority="135"/>
    <cfRule type="duplicateValues" dxfId="187" priority="136"/>
    <cfRule type="duplicateValues" dxfId="186" priority="137"/>
    <cfRule type="duplicateValues" dxfId="185" priority="138"/>
    <cfRule type="duplicateValues" dxfId="184" priority="139"/>
    <cfRule type="duplicateValues" dxfId="183" priority="140"/>
    <cfRule type="duplicateValues" dxfId="182" priority="141"/>
    <cfRule type="duplicateValues" dxfId="181" priority="142"/>
    <cfRule type="duplicateValues" dxfId="180" priority="143"/>
    <cfRule type="duplicateValues" dxfId="179" priority="144"/>
    <cfRule type="duplicateValues" dxfId="178" priority="146"/>
    <cfRule type="duplicateValues" dxfId="177" priority="147"/>
    <cfRule type="duplicateValues" dxfId="176" priority="148"/>
    <cfRule type="duplicateValues" dxfId="175" priority="174"/>
    <cfRule type="duplicateValues" dxfId="174" priority="185"/>
    <cfRule type="duplicateValues" dxfId="173" priority="182"/>
  </conditionalFormatting>
  <conditionalFormatting sqref="F13:F15">
    <cfRule type="duplicateValues" dxfId="172" priority="187"/>
    <cfRule type="duplicateValues" dxfId="171" priority="189"/>
    <cfRule type="duplicateValues" dxfId="170" priority="188"/>
    <cfRule type="duplicateValues" dxfId="169" priority="190"/>
  </conditionalFormatting>
  <conditionalFormatting sqref="F14">
    <cfRule type="duplicateValues" dxfId="168" priority="130"/>
    <cfRule type="duplicateValues" dxfId="167" priority="131"/>
    <cfRule type="duplicateValues" dxfId="166" priority="132"/>
    <cfRule type="duplicateValues" dxfId="165" priority="133"/>
    <cfRule type="duplicateValues" dxfId="164" priority="134"/>
    <cfRule type="duplicateValues" dxfId="163" priority="156"/>
    <cfRule type="duplicateValues" dxfId="162" priority="157"/>
    <cfRule type="duplicateValues" dxfId="161" priority="158"/>
    <cfRule type="duplicateValues" dxfId="160" priority="159"/>
    <cfRule type="duplicateValues" dxfId="159" priority="121"/>
    <cfRule type="duplicateValues" dxfId="158" priority="161"/>
    <cfRule type="duplicateValues" dxfId="157" priority="162"/>
    <cfRule type="duplicateValues" dxfId="156" priority="178"/>
    <cfRule type="duplicateValues" dxfId="155" priority="179"/>
    <cfRule type="duplicateValues" dxfId="154" priority="180"/>
    <cfRule type="duplicateValues" dxfId="153" priority="184"/>
    <cfRule type="duplicateValues" dxfId="152" priority="192"/>
    <cfRule type="duplicateValues" dxfId="151" priority="195"/>
    <cfRule type="duplicateValues" dxfId="150" priority="160"/>
    <cfRule type="duplicateValues" dxfId="149" priority="122"/>
    <cfRule type="duplicateValues" dxfId="148" priority="123"/>
    <cfRule type="duplicateValues" dxfId="147" priority="124"/>
    <cfRule type="duplicateValues" dxfId="146" priority="125"/>
    <cfRule type="duplicateValues" dxfId="145" priority="126"/>
    <cfRule type="duplicateValues" dxfId="144" priority="127"/>
    <cfRule type="duplicateValues" dxfId="143" priority="128"/>
    <cfRule type="duplicateValues" dxfId="142" priority="129"/>
  </conditionalFormatting>
  <conditionalFormatting sqref="F15">
    <cfRule type="duplicateValues" dxfId="141" priority="155"/>
    <cfRule type="duplicateValues" dxfId="140" priority="154"/>
    <cfRule type="duplicateValues" dxfId="139" priority="153"/>
    <cfRule type="duplicateValues" dxfId="138" priority="115"/>
    <cfRule type="duplicateValues" dxfId="137" priority="114"/>
    <cfRule type="duplicateValues" dxfId="136" priority="113"/>
    <cfRule type="duplicateValues" dxfId="135" priority="152"/>
    <cfRule type="duplicateValues" dxfId="134" priority="112"/>
    <cfRule type="duplicateValues" dxfId="133" priority="111"/>
    <cfRule type="duplicateValues" dxfId="132" priority="110"/>
    <cfRule type="duplicateValues" dxfId="131" priority="109"/>
    <cfRule type="duplicateValues" dxfId="130" priority="108"/>
    <cfRule type="duplicateValues" dxfId="129" priority="107"/>
    <cfRule type="duplicateValues" dxfId="128" priority="191"/>
    <cfRule type="duplicateValues" dxfId="127" priority="151"/>
    <cfRule type="duplicateValues" dxfId="126" priority="118"/>
    <cfRule type="duplicateValues" dxfId="125" priority="117"/>
    <cfRule type="duplicateValues" dxfId="124" priority="150"/>
    <cfRule type="duplicateValues" dxfId="123" priority="116"/>
    <cfRule type="duplicateValues" dxfId="122" priority="175"/>
    <cfRule type="duplicateValues" dxfId="121" priority="176"/>
    <cfRule type="duplicateValues" dxfId="120" priority="149"/>
    <cfRule type="duplicateValues" dxfId="119" priority="177"/>
    <cfRule type="duplicateValues" dxfId="118" priority="120"/>
    <cfRule type="duplicateValues" dxfId="117" priority="119"/>
  </conditionalFormatting>
  <conditionalFormatting sqref="F16">
    <cfRule type="duplicateValues" dxfId="116" priority="106"/>
    <cfRule type="duplicateValues" dxfId="115" priority="77"/>
    <cfRule type="duplicateValues" dxfId="114" priority="80"/>
    <cfRule type="duplicateValues" dxfId="113" priority="103"/>
    <cfRule type="duplicateValues" dxfId="112" priority="81"/>
    <cfRule type="duplicateValues" dxfId="111" priority="79"/>
    <cfRule type="duplicateValues" dxfId="110" priority="94"/>
    <cfRule type="duplicateValues" dxfId="109" priority="78"/>
    <cfRule type="duplicateValues" dxfId="108" priority="76"/>
    <cfRule type="duplicateValues" dxfId="107" priority="75"/>
    <cfRule type="duplicateValues" dxfId="106" priority="74"/>
    <cfRule type="duplicateValues" dxfId="105" priority="73"/>
    <cfRule type="duplicateValues" dxfId="104" priority="72"/>
    <cfRule type="duplicateValues" dxfId="103" priority="71"/>
  </conditionalFormatting>
  <conditionalFormatting sqref="F17">
    <cfRule type="duplicateValues" dxfId="102" priority="93"/>
    <cfRule type="duplicateValues" dxfId="101" priority="91"/>
    <cfRule type="duplicateValues" dxfId="100" priority="90"/>
    <cfRule type="duplicateValues" dxfId="99" priority="89"/>
    <cfRule type="duplicateValues" dxfId="98" priority="41"/>
    <cfRule type="duplicateValues" dxfId="97" priority="39"/>
    <cfRule type="duplicateValues" dxfId="96" priority="40"/>
    <cfRule type="duplicateValues" dxfId="95" priority="29"/>
    <cfRule type="duplicateValues" dxfId="94" priority="30"/>
    <cfRule type="duplicateValues" dxfId="93" priority="82"/>
    <cfRule type="duplicateValues" dxfId="92" priority="31"/>
    <cfRule type="duplicateValues" dxfId="91" priority="32"/>
    <cfRule type="duplicateValues" dxfId="90" priority="105"/>
    <cfRule type="duplicateValues" dxfId="89" priority="36"/>
    <cfRule type="duplicateValues" dxfId="88" priority="102"/>
    <cfRule type="duplicateValues" dxfId="87" priority="37"/>
    <cfRule type="duplicateValues" dxfId="86" priority="38"/>
    <cfRule type="duplicateValues" dxfId="85" priority="42"/>
    <cfRule type="duplicateValues" dxfId="84" priority="35"/>
    <cfRule type="duplicateValues" dxfId="83" priority="33"/>
    <cfRule type="duplicateValues" dxfId="82" priority="34"/>
  </conditionalFormatting>
  <conditionalFormatting sqref="F17:F21">
    <cfRule type="duplicateValues" dxfId="81" priority="95"/>
    <cfRule type="duplicateValues" dxfId="80" priority="96"/>
    <cfRule type="duplicateValues" dxfId="79" priority="98"/>
    <cfRule type="duplicateValues" dxfId="78" priority="97"/>
  </conditionalFormatting>
  <conditionalFormatting sqref="F18">
    <cfRule type="duplicateValues" dxfId="77" priority="104"/>
    <cfRule type="duplicateValues" dxfId="76" priority="101"/>
    <cfRule type="duplicateValues" dxfId="75" priority="20"/>
    <cfRule type="duplicateValues" dxfId="74" priority="19"/>
    <cfRule type="duplicateValues" dxfId="73" priority="88"/>
    <cfRule type="duplicateValues" dxfId="72" priority="87"/>
    <cfRule type="duplicateValues" dxfId="71" priority="86"/>
    <cfRule type="duplicateValues" dxfId="70" priority="18"/>
    <cfRule type="duplicateValues" dxfId="69" priority="16"/>
    <cfRule type="duplicateValues" dxfId="68" priority="15"/>
    <cfRule type="duplicateValues" dxfId="67" priority="17"/>
    <cfRule type="duplicateValues" dxfId="66" priority="92"/>
    <cfRule type="duplicateValues" dxfId="65" priority="69"/>
    <cfRule type="duplicateValues" dxfId="64" priority="68"/>
    <cfRule type="duplicateValues" dxfId="63" priority="67"/>
    <cfRule type="duplicateValues" dxfId="62" priority="66"/>
    <cfRule type="duplicateValues" dxfId="61" priority="65"/>
    <cfRule type="duplicateValues" dxfId="60" priority="64"/>
    <cfRule type="duplicateValues" dxfId="59" priority="70"/>
    <cfRule type="duplicateValues" dxfId="58" priority="25"/>
    <cfRule type="duplicateValues" dxfId="57" priority="28"/>
    <cfRule type="duplicateValues" dxfId="56" priority="27"/>
    <cfRule type="duplicateValues" dxfId="55" priority="26"/>
    <cfRule type="duplicateValues" dxfId="54" priority="24"/>
    <cfRule type="duplicateValues" dxfId="53" priority="23"/>
    <cfRule type="duplicateValues" dxfId="52" priority="22"/>
    <cfRule type="duplicateValues" dxfId="51" priority="21"/>
  </conditionalFormatting>
  <conditionalFormatting sqref="F19">
    <cfRule type="duplicateValues" dxfId="50" priority="100"/>
    <cfRule type="duplicateValues" dxfId="49" priority="7"/>
    <cfRule type="duplicateValues" dxfId="48" priority="85"/>
    <cfRule type="duplicateValues" dxfId="47" priority="84"/>
    <cfRule type="duplicateValues" dxfId="46" priority="83"/>
    <cfRule type="duplicateValues" dxfId="45" priority="1"/>
    <cfRule type="duplicateValues" dxfId="44" priority="63"/>
    <cfRule type="duplicateValues" dxfId="43" priority="6"/>
    <cfRule type="duplicateValues" dxfId="42" priority="5"/>
    <cfRule type="duplicateValues" dxfId="41" priority="4"/>
    <cfRule type="duplicateValues" dxfId="40" priority="60"/>
    <cfRule type="duplicateValues" dxfId="39" priority="3"/>
    <cfRule type="duplicateValues" dxfId="38" priority="57"/>
    <cfRule type="duplicateValues" dxfId="37" priority="58"/>
    <cfRule type="duplicateValues" dxfId="36" priority="59"/>
    <cfRule type="duplicateValues" dxfId="35" priority="2"/>
    <cfRule type="duplicateValues" dxfId="34" priority="61"/>
    <cfRule type="duplicateValues" dxfId="33" priority="62"/>
    <cfRule type="duplicateValues" dxfId="32" priority="14"/>
    <cfRule type="duplicateValues" dxfId="31" priority="13"/>
    <cfRule type="duplicateValues" dxfId="30" priority="12"/>
    <cfRule type="duplicateValues" dxfId="29" priority="11"/>
    <cfRule type="duplicateValues" dxfId="28" priority="10"/>
    <cfRule type="duplicateValues" dxfId="27" priority="9"/>
    <cfRule type="duplicateValues" dxfId="26" priority="8"/>
  </conditionalFormatting>
  <conditionalFormatting sqref="F20">
    <cfRule type="duplicateValues" dxfId="25" priority="99"/>
    <cfRule type="duplicateValues" dxfId="24" priority="53"/>
    <cfRule type="duplicateValues" dxfId="23" priority="54"/>
    <cfRule type="duplicateValues" dxfId="22" priority="55"/>
    <cfRule type="duplicateValues" dxfId="21" priority="56"/>
    <cfRule type="duplicateValues" dxfId="20" priority="52"/>
    <cfRule type="duplicateValues" dxfId="19" priority="50"/>
    <cfRule type="duplicateValues" dxfId="18" priority="51"/>
  </conditionalFormatting>
  <conditionalFormatting sqref="F21">
    <cfRule type="duplicateValues" dxfId="17" priority="43"/>
    <cfRule type="duplicateValues" dxfId="16" priority="44"/>
    <cfRule type="duplicateValues" dxfId="15" priority="45"/>
    <cfRule type="duplicateValues" dxfId="14" priority="48"/>
    <cfRule type="duplicateValues" dxfId="13" priority="47"/>
    <cfRule type="duplicateValues" dxfId="12" priority="46"/>
    <cfRule type="duplicateValues" dxfId="11" priority="49"/>
  </conditionalFormatting>
  <conditionalFormatting sqref="M4:M265">
    <cfRule type="cellIs" dxfId="10" priority="320" operator="equal">
      <formula>1</formula>
    </cfRule>
  </conditionalFormatting>
  <conditionalFormatting sqref="M4:P265 D4:E265 S44">
    <cfRule type="notContainsBlanks" dxfId="9" priority="321">
      <formula>LEN(TRIM(D4))&gt;0</formula>
    </cfRule>
  </conditionalFormatting>
  <conditionalFormatting sqref="P4:P265">
    <cfRule type="cellIs" dxfId="8" priority="308" operator="equal">
      <formula>"D"</formula>
    </cfRule>
    <cfRule type="cellIs" dxfId="7" priority="309" operator="equal">
      <formula>"C"</formula>
    </cfRule>
    <cfRule type="cellIs" dxfId="6" priority="310" operator="equal">
      <formula>"B"</formula>
    </cfRule>
    <cfRule type="containsText" dxfId="5" priority="311" operator="containsText" text="A">
      <formula>NOT(ISERROR(SEARCH("A",P4)))</formula>
    </cfRule>
  </conditionalFormatting>
  <conditionalFormatting sqref="S47:T52">
    <cfRule type="containsBlanks" dxfId="4" priority="317">
      <formula>LEN(TRIM(S47))=0</formula>
    </cfRule>
    <cfRule type="notContainsBlanks" dxfId="3" priority="316">
      <formula>LEN(TRIM(S47))&gt;0</formula>
    </cfRule>
  </conditionalFormatting>
  <conditionalFormatting sqref="U45">
    <cfRule type="containsBlanks" dxfId="2" priority="318">
      <formula>LEN(TRIM(U45))=0</formula>
    </cfRule>
    <cfRule type="notContainsBlanks" dxfId="1" priority="319">
      <formula>LEN(TRIM(U45))&gt;0</formula>
    </cfRule>
  </conditionalFormatting>
  <dataValidations count="1">
    <dataValidation allowBlank="1" showInputMessage="1" sqref="I4:J265" xr:uid="{00000000-0002-0000-0300-000000000000}"/>
  </dataValidation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Tylko z listy!" xr:uid="{00000000-0002-0000-0300-000001000000}">
          <x14:formula1>
            <xm:f>'Listy wyboru'!$A$2:$A$5</xm:f>
          </x14:formula1>
          <xm:sqref>B4:B265</xm:sqref>
        </x14:dataValidation>
        <x14:dataValidation type="list" allowBlank="1" showInputMessage="1" showErrorMessage="1" xr:uid="{00000000-0002-0000-0300-000003000000}">
          <x14:formula1>
            <xm:f>Tabelle1!$A$205:$A$292</xm:f>
          </x14:formula1>
          <xm:sqref>F4:F265</xm:sqref>
        </x14:dataValidation>
        <x14:dataValidation type="date" allowBlank="1" showInputMessage="1" showErrorMessage="1" error="DD.MM.RRRR" xr:uid="{00000000-0002-0000-0300-000002000000}">
          <x14:formula1>
            <xm:f>'Karta informacyjna'!B4</xm:f>
          </x14:formula1>
          <x14:formula2>
            <xm:f>'Karta informacyjna'!B5</xm:f>
          </x14:formula2>
          <xm:sqref>A4:A265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C11" sqref="C11"/>
    </sheetView>
  </sheetViews>
  <sheetFormatPr defaultRowHeight="14.5"/>
  <cols>
    <col min="1" max="1" width="14" bestFit="1" customWidth="1"/>
    <col min="2" max="3" width="14" customWidth="1"/>
  </cols>
  <sheetData>
    <row r="1" spans="1:5" ht="43.5">
      <c r="A1" s="51"/>
      <c r="B1" s="54" t="s">
        <v>403</v>
      </c>
      <c r="C1" s="54" t="s">
        <v>404</v>
      </c>
      <c r="D1" s="54" t="s">
        <v>401</v>
      </c>
      <c r="E1" s="74" t="s">
        <v>406</v>
      </c>
    </row>
    <row r="2" spans="1:5">
      <c r="A2" s="51" t="s">
        <v>392</v>
      </c>
      <c r="B2" s="72">
        <f>'Leczenie ogólne'!T4</f>
        <v>0</v>
      </c>
      <c r="C2" s="72">
        <f>'Leczenie ogólne'!U4</f>
        <v>0</v>
      </c>
      <c r="D2" s="73">
        <f>'Leczenie ogólne'!M2</f>
        <v>0</v>
      </c>
    </row>
    <row r="3" spans="1:5">
      <c r="A3" s="51" t="s">
        <v>394</v>
      </c>
      <c r="B3" s="72">
        <f>Mastitis!T4</f>
        <v>0</v>
      </c>
      <c r="C3" s="72">
        <f>Mastitis!U4</f>
        <v>0</v>
      </c>
      <c r="D3" s="73">
        <f>Mastitis!M2</f>
        <v>0</v>
      </c>
    </row>
    <row r="4" spans="1:5">
      <c r="A4" s="51" t="s">
        <v>399</v>
      </c>
      <c r="B4" s="72">
        <f>Zasuszanie!T4</f>
        <v>0</v>
      </c>
      <c r="C4" s="72">
        <f>Zasuszanie!U4</f>
        <v>0</v>
      </c>
      <c r="D4" s="73">
        <f>Zasuszanie!M2</f>
        <v>0</v>
      </c>
    </row>
    <row r="5" spans="1:5">
      <c r="A5" s="51" t="s">
        <v>405</v>
      </c>
      <c r="B5" s="72">
        <f>SUM(B2:B4)</f>
        <v>0</v>
      </c>
      <c r="C5" s="72">
        <f>SUM(C2:C4)</f>
        <v>0</v>
      </c>
      <c r="D5" s="73">
        <f>SUM(D2:D4)</f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97"/>
  <sheetViews>
    <sheetView zoomScale="120" zoomScaleNormal="120" workbookViewId="0">
      <pane ySplit="1" topLeftCell="A2" activePane="bottomLeft" state="frozen"/>
      <selection pane="bottomLeft" activeCell="M242" sqref="M242"/>
    </sheetView>
  </sheetViews>
  <sheetFormatPr defaultColWidth="15.6328125" defaultRowHeight="10.5"/>
  <cols>
    <col min="1" max="1" width="19" style="36" customWidth="1"/>
    <col min="2" max="2" width="15.6328125" style="36"/>
    <col min="3" max="3" width="15.6328125" style="97"/>
    <col min="4" max="4" width="16.90625" style="36" customWidth="1"/>
    <col min="5" max="5" width="11.54296875" style="36" customWidth="1"/>
    <col min="6" max="6" width="11.54296875" style="83" customWidth="1"/>
    <col min="7" max="7" width="11.81640625" style="97" customWidth="1"/>
    <col min="8" max="8" width="11.1796875" style="97" customWidth="1"/>
    <col min="9" max="9" width="9.453125" style="97" customWidth="1"/>
    <col min="10" max="10" width="6.90625" style="83" customWidth="1"/>
    <col min="11" max="11" width="6" style="83" customWidth="1"/>
    <col min="12" max="12" width="10.54296875" style="36" customWidth="1"/>
    <col min="13" max="13" width="13.08984375" style="25" customWidth="1"/>
    <col min="14" max="24" width="15.6328125" style="25"/>
    <col min="25" max="25" width="15.81640625" style="25" customWidth="1"/>
    <col min="26" max="31" width="15.6328125" style="25"/>
    <col min="32" max="32" width="5" style="25" customWidth="1"/>
    <col min="33" max="33" width="82.90625" style="25" customWidth="1"/>
    <col min="34" max="16384" width="15.6328125" style="25"/>
  </cols>
  <sheetData>
    <row r="1" spans="1:33" s="18" customFormat="1" ht="21">
      <c r="A1" s="15" t="s">
        <v>28</v>
      </c>
      <c r="B1" s="15" t="s">
        <v>29</v>
      </c>
      <c r="C1" s="16" t="s">
        <v>30</v>
      </c>
      <c r="D1" s="93" t="s">
        <v>31</v>
      </c>
      <c r="E1" s="93" t="s">
        <v>32</v>
      </c>
      <c r="F1" s="79" t="s">
        <v>33</v>
      </c>
      <c r="G1" s="16" t="s">
        <v>3</v>
      </c>
      <c r="H1" s="17" t="s">
        <v>34</v>
      </c>
      <c r="I1" s="17" t="s">
        <v>35</v>
      </c>
      <c r="J1" s="86" t="s">
        <v>36</v>
      </c>
      <c r="K1" s="86" t="s">
        <v>37</v>
      </c>
      <c r="L1" s="75" t="s">
        <v>407</v>
      </c>
      <c r="M1" s="113" t="s">
        <v>510</v>
      </c>
      <c r="S1" s="152" t="s">
        <v>30</v>
      </c>
      <c r="T1" s="152"/>
      <c r="U1" s="152"/>
      <c r="V1" s="16" t="s">
        <v>1</v>
      </c>
      <c r="W1" s="17" t="s">
        <v>36</v>
      </c>
      <c r="X1" s="17" t="s">
        <v>37</v>
      </c>
      <c r="Y1" s="77"/>
      <c r="AA1" s="19" t="s">
        <v>35</v>
      </c>
      <c r="AB1" s="19"/>
      <c r="AC1" s="19" t="s">
        <v>38</v>
      </c>
      <c r="AF1" s="153" t="s">
        <v>408</v>
      </c>
      <c r="AG1" s="153"/>
    </row>
    <row r="2" spans="1:33" ht="21">
      <c r="A2" s="20" t="s">
        <v>39</v>
      </c>
      <c r="B2" s="20" t="s">
        <v>40</v>
      </c>
      <c r="C2" s="102" t="s">
        <v>14</v>
      </c>
      <c r="D2" s="21">
        <v>6</v>
      </c>
      <c r="E2" s="21">
        <v>4</v>
      </c>
      <c r="F2" s="80">
        <f t="shared" ref="F2:F7" si="0">D2*$AC$2</f>
        <v>2550</v>
      </c>
      <c r="G2" s="95">
        <v>1</v>
      </c>
      <c r="H2" s="95">
        <v>180</v>
      </c>
      <c r="I2" s="95" t="s">
        <v>41</v>
      </c>
      <c r="J2" s="87">
        <v>1.9</v>
      </c>
      <c r="K2" s="87">
        <v>5.0999999999999996</v>
      </c>
      <c r="L2" s="24" t="s">
        <v>485</v>
      </c>
      <c r="S2" s="26" t="s">
        <v>478</v>
      </c>
      <c r="T2" s="27" t="s">
        <v>42</v>
      </c>
      <c r="U2" s="27" t="s">
        <v>42</v>
      </c>
      <c r="V2" s="26" t="s">
        <v>41</v>
      </c>
      <c r="W2" s="28" t="s">
        <v>43</v>
      </c>
      <c r="X2" s="28" t="s">
        <v>43</v>
      </c>
      <c r="AA2" s="25" t="s">
        <v>41</v>
      </c>
      <c r="AC2" s="25">
        <v>425</v>
      </c>
      <c r="AD2" s="25" t="s">
        <v>44</v>
      </c>
      <c r="AF2" s="91">
        <v>1</v>
      </c>
      <c r="AG2" s="92" t="s">
        <v>409</v>
      </c>
    </row>
    <row r="3" spans="1:33" ht="21">
      <c r="A3" s="20" t="s">
        <v>45</v>
      </c>
      <c r="B3" s="20" t="s">
        <v>40</v>
      </c>
      <c r="C3" s="102" t="s">
        <v>14</v>
      </c>
      <c r="D3" s="21">
        <v>1.25</v>
      </c>
      <c r="E3" s="21">
        <v>3</v>
      </c>
      <c r="F3" s="80">
        <f t="shared" si="0"/>
        <v>531.25</v>
      </c>
      <c r="G3" s="95">
        <v>1</v>
      </c>
      <c r="H3" s="95">
        <v>25</v>
      </c>
      <c r="I3" s="95" t="s">
        <v>41</v>
      </c>
      <c r="J3" s="87">
        <v>1.9</v>
      </c>
      <c r="K3" s="87">
        <v>5.0999999999999996</v>
      </c>
      <c r="L3" s="24" t="s">
        <v>484</v>
      </c>
      <c r="S3" s="26" t="s">
        <v>479</v>
      </c>
      <c r="T3" s="27" t="s">
        <v>46</v>
      </c>
      <c r="U3" s="27" t="s">
        <v>47</v>
      </c>
      <c r="V3" s="26" t="s">
        <v>48</v>
      </c>
      <c r="W3" s="28">
        <v>1</v>
      </c>
      <c r="X3" s="28">
        <v>3</v>
      </c>
      <c r="AA3" s="25" t="s">
        <v>49</v>
      </c>
      <c r="AC3" s="25">
        <v>425</v>
      </c>
      <c r="AD3" s="25" t="s">
        <v>50</v>
      </c>
      <c r="AF3" s="91">
        <v>2</v>
      </c>
      <c r="AG3" s="92" t="s">
        <v>410</v>
      </c>
    </row>
    <row r="4" spans="1:33" ht="21">
      <c r="A4" s="20" t="s">
        <v>51</v>
      </c>
      <c r="B4" s="20" t="s">
        <v>517</v>
      </c>
      <c r="C4" s="102" t="s">
        <v>14</v>
      </c>
      <c r="D4" s="21">
        <v>4</v>
      </c>
      <c r="E4" s="21">
        <v>3</v>
      </c>
      <c r="F4" s="80">
        <f t="shared" si="0"/>
        <v>1700</v>
      </c>
      <c r="G4" s="95">
        <v>0</v>
      </c>
      <c r="H4" s="95">
        <v>100</v>
      </c>
      <c r="I4" s="95" t="s">
        <v>41</v>
      </c>
      <c r="J4" s="87">
        <v>6.5</v>
      </c>
      <c r="K4" s="82">
        <v>23</v>
      </c>
      <c r="L4" s="23"/>
      <c r="S4" s="26" t="s">
        <v>480</v>
      </c>
      <c r="T4" s="27" t="s">
        <v>53</v>
      </c>
      <c r="U4" s="27" t="s">
        <v>54</v>
      </c>
      <c r="V4" s="26" t="s">
        <v>48</v>
      </c>
      <c r="W4" s="28"/>
      <c r="X4" s="28">
        <v>4</v>
      </c>
      <c r="AA4" s="25" t="s">
        <v>48</v>
      </c>
      <c r="AC4" s="25">
        <v>200</v>
      </c>
      <c r="AD4" s="25" t="s">
        <v>55</v>
      </c>
      <c r="AF4" s="91">
        <v>3</v>
      </c>
      <c r="AG4" s="92" t="s">
        <v>411</v>
      </c>
    </row>
    <row r="5" spans="1:33" ht="21">
      <c r="A5" s="20" t="s">
        <v>56</v>
      </c>
      <c r="B5" s="20" t="s">
        <v>52</v>
      </c>
      <c r="C5" s="102" t="s">
        <v>14</v>
      </c>
      <c r="D5" s="21">
        <v>20</v>
      </c>
      <c r="E5" s="21">
        <v>1</v>
      </c>
      <c r="F5" s="80">
        <f t="shared" si="0"/>
        <v>8500</v>
      </c>
      <c r="G5" s="95">
        <v>0</v>
      </c>
      <c r="H5" s="95">
        <v>200</v>
      </c>
      <c r="I5" s="95" t="s">
        <v>41</v>
      </c>
      <c r="J5" s="87">
        <v>6.5</v>
      </c>
      <c r="K5" s="82">
        <v>23</v>
      </c>
      <c r="L5" s="23"/>
      <c r="S5" s="26" t="s">
        <v>481</v>
      </c>
      <c r="T5" s="27" t="s">
        <v>57</v>
      </c>
      <c r="U5" s="27" t="s">
        <v>57</v>
      </c>
      <c r="V5" s="26" t="s">
        <v>49</v>
      </c>
      <c r="W5" s="29" t="s">
        <v>58</v>
      </c>
      <c r="X5" s="29" t="s">
        <v>58</v>
      </c>
      <c r="AA5" s="25" t="s">
        <v>35</v>
      </c>
      <c r="AC5" s="25">
        <v>425</v>
      </c>
      <c r="AD5" s="25" t="s">
        <v>59</v>
      </c>
      <c r="AF5" s="91">
        <v>4</v>
      </c>
      <c r="AG5" s="92" t="s">
        <v>412</v>
      </c>
    </row>
    <row r="6" spans="1:33" ht="24">
      <c r="A6" s="20" t="s">
        <v>60</v>
      </c>
      <c r="B6" s="20" t="s">
        <v>52</v>
      </c>
      <c r="C6" s="102" t="s">
        <v>14</v>
      </c>
      <c r="D6" s="21">
        <v>20</v>
      </c>
      <c r="E6" s="21">
        <v>1</v>
      </c>
      <c r="F6" s="80">
        <f t="shared" si="0"/>
        <v>8500</v>
      </c>
      <c r="G6" s="95">
        <v>0</v>
      </c>
      <c r="H6" s="95">
        <v>300</v>
      </c>
      <c r="I6" s="95" t="s">
        <v>41</v>
      </c>
      <c r="J6" s="87">
        <v>6.5</v>
      </c>
      <c r="K6" s="82">
        <v>23</v>
      </c>
      <c r="L6" s="23"/>
      <c r="S6" s="26" t="s">
        <v>482</v>
      </c>
      <c r="T6" s="27" t="s">
        <v>0</v>
      </c>
      <c r="U6" s="27" t="s">
        <v>61</v>
      </c>
      <c r="V6" s="26"/>
      <c r="W6" s="28"/>
      <c r="X6" s="28"/>
      <c r="AC6" s="25">
        <v>140</v>
      </c>
      <c r="AD6" s="25" t="s">
        <v>62</v>
      </c>
      <c r="AF6" s="91">
        <v>5</v>
      </c>
      <c r="AG6" s="92" t="s">
        <v>413</v>
      </c>
    </row>
    <row r="7" spans="1:33" ht="24">
      <c r="A7" s="20" t="s">
        <v>63</v>
      </c>
      <c r="B7" s="20" t="s">
        <v>64</v>
      </c>
      <c r="C7" s="102" t="s">
        <v>14</v>
      </c>
      <c r="D7" s="21">
        <v>15</v>
      </c>
      <c r="E7" s="21">
        <v>2</v>
      </c>
      <c r="F7" s="80">
        <f t="shared" si="0"/>
        <v>6375</v>
      </c>
      <c r="G7" s="95">
        <v>0</v>
      </c>
      <c r="H7" s="95">
        <v>100</v>
      </c>
      <c r="I7" s="95" t="s">
        <v>41</v>
      </c>
      <c r="J7" s="87">
        <v>8.3000000000000007</v>
      </c>
      <c r="K7" s="82">
        <v>29</v>
      </c>
      <c r="L7" s="23"/>
      <c r="S7" s="26" t="s">
        <v>483</v>
      </c>
      <c r="T7" s="28"/>
      <c r="U7" s="28"/>
      <c r="V7" s="26" t="s">
        <v>35</v>
      </c>
      <c r="W7" s="28">
        <v>1</v>
      </c>
      <c r="X7" s="28">
        <v>2</v>
      </c>
      <c r="AF7" s="91">
        <v>6</v>
      </c>
      <c r="AG7" s="92" t="s">
        <v>414</v>
      </c>
    </row>
    <row r="8" spans="1:33" s="32" customFormat="1">
      <c r="A8" s="30" t="s">
        <v>65</v>
      </c>
      <c r="B8" s="30" t="s">
        <v>66</v>
      </c>
      <c r="C8" s="96" t="s">
        <v>24</v>
      </c>
      <c r="D8" s="30">
        <v>21</v>
      </c>
      <c r="E8" s="30">
        <v>5</v>
      </c>
      <c r="F8" s="81">
        <f>D8*$AC$6</f>
        <v>2940</v>
      </c>
      <c r="G8" s="96">
        <v>0</v>
      </c>
      <c r="H8" s="96">
        <v>70</v>
      </c>
      <c r="I8" s="96" t="s">
        <v>49</v>
      </c>
      <c r="J8" s="81"/>
      <c r="K8" s="81"/>
      <c r="L8" s="30"/>
      <c r="M8" s="31" t="s">
        <v>67</v>
      </c>
      <c r="S8" s="33"/>
      <c r="T8" s="34"/>
      <c r="U8" s="34"/>
      <c r="V8" s="33" t="s">
        <v>68</v>
      </c>
      <c r="W8" s="34" t="s">
        <v>43</v>
      </c>
      <c r="X8" s="34" t="s">
        <v>43</v>
      </c>
    </row>
    <row r="9" spans="1:33" ht="21">
      <c r="A9" s="20" t="s">
        <v>69</v>
      </c>
      <c r="B9" s="20" t="s">
        <v>70</v>
      </c>
      <c r="C9" s="102" t="s">
        <v>14</v>
      </c>
      <c r="D9" s="21">
        <v>7</v>
      </c>
      <c r="E9" s="21">
        <v>5</v>
      </c>
      <c r="F9" s="80">
        <f t="shared" ref="F9:F10" si="1">D9*$AC$2</f>
        <v>2975</v>
      </c>
      <c r="G9" s="95">
        <v>0</v>
      </c>
      <c r="H9" s="95">
        <v>150</v>
      </c>
      <c r="I9" s="95" t="s">
        <v>41</v>
      </c>
      <c r="J9" s="87">
        <v>8.3000000000000007</v>
      </c>
      <c r="K9" s="82">
        <v>29</v>
      </c>
      <c r="L9" s="23"/>
      <c r="S9" s="26"/>
      <c r="T9" s="28"/>
      <c r="U9" s="28"/>
      <c r="V9" s="26" t="s">
        <v>35</v>
      </c>
      <c r="W9" s="28" t="s">
        <v>43</v>
      </c>
      <c r="X9" s="28" t="s">
        <v>43</v>
      </c>
    </row>
    <row r="10" spans="1:33" s="35" customFormat="1" ht="21">
      <c r="A10" s="20" t="s">
        <v>71</v>
      </c>
      <c r="B10" s="20" t="s">
        <v>70</v>
      </c>
      <c r="C10" s="102" t="s">
        <v>14</v>
      </c>
      <c r="D10" s="21">
        <v>15</v>
      </c>
      <c r="E10" s="21">
        <v>2</v>
      </c>
      <c r="F10" s="80">
        <f t="shared" si="1"/>
        <v>6375</v>
      </c>
      <c r="G10" s="95">
        <v>0</v>
      </c>
      <c r="H10" s="95">
        <v>150</v>
      </c>
      <c r="I10" s="95" t="s">
        <v>41</v>
      </c>
      <c r="J10" s="87">
        <v>8.3000000000000007</v>
      </c>
      <c r="K10" s="82">
        <v>29</v>
      </c>
      <c r="L10" s="23"/>
    </row>
    <row r="11" spans="1:33" ht="21">
      <c r="A11" s="20" t="s">
        <v>72</v>
      </c>
      <c r="B11" s="20" t="s">
        <v>73</v>
      </c>
      <c r="C11" s="102" t="s">
        <v>14</v>
      </c>
      <c r="D11" s="21">
        <v>10</v>
      </c>
      <c r="E11" s="21">
        <v>1</v>
      </c>
      <c r="F11" s="80">
        <f>D11*$AC$2</f>
        <v>4250</v>
      </c>
      <c r="G11" s="95">
        <v>0</v>
      </c>
      <c r="H11" s="95">
        <v>300</v>
      </c>
      <c r="I11" s="95" t="s">
        <v>41</v>
      </c>
      <c r="J11" s="87">
        <v>4</v>
      </c>
      <c r="K11" s="87">
        <v>9.8000000000000007</v>
      </c>
      <c r="L11" s="24"/>
    </row>
    <row r="12" spans="1:33" ht="21">
      <c r="A12" s="20" t="s">
        <v>74</v>
      </c>
      <c r="B12" s="20" t="s">
        <v>75</v>
      </c>
      <c r="C12" s="102" t="s">
        <v>24</v>
      </c>
      <c r="D12" s="21">
        <v>40</v>
      </c>
      <c r="E12" s="21">
        <v>5</v>
      </c>
      <c r="F12" s="82">
        <v>5600</v>
      </c>
      <c r="G12" s="95">
        <v>0</v>
      </c>
      <c r="H12" s="95">
        <v>1000</v>
      </c>
      <c r="I12" s="95" t="s">
        <v>49</v>
      </c>
      <c r="J12" s="82">
        <v>30</v>
      </c>
      <c r="K12" s="82">
        <v>150</v>
      </c>
      <c r="L12" s="23"/>
    </row>
    <row r="13" spans="1:33" ht="21">
      <c r="A13" s="36" t="s">
        <v>76</v>
      </c>
      <c r="B13" s="36" t="s">
        <v>77</v>
      </c>
      <c r="C13" s="97" t="s">
        <v>24</v>
      </c>
      <c r="D13" s="36">
        <v>50</v>
      </c>
      <c r="E13" s="36">
        <v>1</v>
      </c>
      <c r="F13" s="83">
        <f>D13</f>
        <v>50</v>
      </c>
      <c r="G13" s="97">
        <v>0</v>
      </c>
      <c r="H13" s="97">
        <f>F13</f>
        <v>50</v>
      </c>
      <c r="I13" s="97" t="s">
        <v>41</v>
      </c>
    </row>
    <row r="14" spans="1:33">
      <c r="A14" s="37" t="s">
        <v>236</v>
      </c>
      <c r="M14" s="38" t="s">
        <v>237</v>
      </c>
    </row>
    <row r="15" spans="1:33">
      <c r="A15" s="20" t="s">
        <v>78</v>
      </c>
      <c r="B15" s="20" t="s">
        <v>79</v>
      </c>
      <c r="C15" s="102" t="s">
        <v>14</v>
      </c>
      <c r="D15" s="21">
        <v>5</v>
      </c>
      <c r="E15" s="21">
        <v>5</v>
      </c>
      <c r="F15" s="80">
        <f>D15*$AC$2</f>
        <v>2125</v>
      </c>
      <c r="G15" s="95">
        <v>1</v>
      </c>
      <c r="H15" s="95">
        <v>100</v>
      </c>
      <c r="I15" s="95" t="s">
        <v>41</v>
      </c>
      <c r="J15" s="87">
        <v>4.2</v>
      </c>
      <c r="K15" s="82">
        <v>16</v>
      </c>
      <c r="L15" s="23"/>
    </row>
    <row r="16" spans="1:33">
      <c r="A16" s="20" t="s">
        <v>80</v>
      </c>
      <c r="B16" s="20" t="s">
        <v>79</v>
      </c>
      <c r="C16" s="102" t="s">
        <v>24</v>
      </c>
      <c r="D16" s="21">
        <v>2.5</v>
      </c>
      <c r="E16" s="21">
        <v>3</v>
      </c>
      <c r="F16" s="82">
        <v>350</v>
      </c>
      <c r="G16" s="95">
        <v>1</v>
      </c>
      <c r="H16" s="95">
        <v>25</v>
      </c>
      <c r="I16" s="95" t="s">
        <v>41</v>
      </c>
      <c r="J16" s="87">
        <v>4.7</v>
      </c>
      <c r="K16" s="82">
        <v>22</v>
      </c>
      <c r="L16" s="23"/>
    </row>
    <row r="17" spans="1:13">
      <c r="A17" s="20" t="s">
        <v>81</v>
      </c>
      <c r="B17" s="20" t="s">
        <v>79</v>
      </c>
      <c r="C17" s="102" t="s">
        <v>14</v>
      </c>
      <c r="D17" s="21">
        <v>5</v>
      </c>
      <c r="E17" s="21">
        <v>5</v>
      </c>
      <c r="F17" s="80">
        <f t="shared" ref="F17:F18" si="2">D17*$AC$2</f>
        <v>2125</v>
      </c>
      <c r="G17" s="95">
        <v>1</v>
      </c>
      <c r="H17" s="95">
        <v>50</v>
      </c>
      <c r="I17" s="95" t="s">
        <v>41</v>
      </c>
      <c r="J17" s="87">
        <v>4.2</v>
      </c>
      <c r="K17" s="82">
        <v>16</v>
      </c>
      <c r="L17" s="23"/>
    </row>
    <row r="18" spans="1:13">
      <c r="A18" s="20" t="s">
        <v>82</v>
      </c>
      <c r="B18" s="20" t="s">
        <v>79</v>
      </c>
      <c r="C18" s="102" t="s">
        <v>14</v>
      </c>
      <c r="D18" s="21">
        <v>7.5</v>
      </c>
      <c r="E18" s="21">
        <v>1</v>
      </c>
      <c r="F18" s="80">
        <f t="shared" si="2"/>
        <v>3187.5</v>
      </c>
      <c r="G18" s="95">
        <v>1</v>
      </c>
      <c r="H18" s="95">
        <v>100</v>
      </c>
      <c r="I18" s="95" t="s">
        <v>41</v>
      </c>
      <c r="J18" s="87">
        <v>4.2</v>
      </c>
      <c r="K18" s="82">
        <v>16</v>
      </c>
      <c r="L18" s="23"/>
    </row>
    <row r="19" spans="1:13" s="32" customFormat="1" ht="21">
      <c r="A19" s="30" t="s">
        <v>83</v>
      </c>
      <c r="B19" s="30" t="s">
        <v>84</v>
      </c>
      <c r="C19" s="96" t="s">
        <v>17</v>
      </c>
      <c r="D19" s="30">
        <v>280</v>
      </c>
      <c r="E19" s="30">
        <v>1</v>
      </c>
      <c r="F19" s="81">
        <f>D19</f>
        <v>280</v>
      </c>
      <c r="G19" s="96">
        <v>0</v>
      </c>
      <c r="H19" s="96">
        <v>100</v>
      </c>
      <c r="I19" s="96" t="s">
        <v>48</v>
      </c>
      <c r="J19" s="81"/>
      <c r="K19" s="81"/>
      <c r="L19" s="30"/>
      <c r="M19" s="31" t="s">
        <v>85</v>
      </c>
    </row>
    <row r="20" spans="1:13" ht="21">
      <c r="A20" s="20" t="s">
        <v>86</v>
      </c>
      <c r="B20" s="20" t="s">
        <v>66</v>
      </c>
      <c r="C20" s="102" t="s">
        <v>14</v>
      </c>
      <c r="D20" s="21">
        <v>7</v>
      </c>
      <c r="E20" s="21">
        <v>5</v>
      </c>
      <c r="F20" s="80">
        <f t="shared" ref="F20:F21" si="3">D20*$AC$2</f>
        <v>2975</v>
      </c>
      <c r="G20" s="95">
        <v>0</v>
      </c>
      <c r="H20" s="95">
        <v>150</v>
      </c>
      <c r="I20" s="95" t="s">
        <v>41</v>
      </c>
      <c r="J20" s="87">
        <v>8.3000000000000007</v>
      </c>
      <c r="K20" s="82">
        <v>29</v>
      </c>
      <c r="L20" s="23"/>
    </row>
    <row r="21" spans="1:13" s="35" customFormat="1" ht="21">
      <c r="A21" s="20" t="s">
        <v>87</v>
      </c>
      <c r="B21" s="20" t="s">
        <v>66</v>
      </c>
      <c r="C21" s="102" t="s">
        <v>14</v>
      </c>
      <c r="D21" s="21">
        <v>15</v>
      </c>
      <c r="E21" s="21">
        <v>2</v>
      </c>
      <c r="F21" s="80">
        <f t="shared" si="3"/>
        <v>6375</v>
      </c>
      <c r="G21" s="95">
        <v>0</v>
      </c>
      <c r="H21" s="95">
        <v>150</v>
      </c>
      <c r="I21" s="95" t="s">
        <v>41</v>
      </c>
      <c r="J21" s="87">
        <v>8.3000000000000007</v>
      </c>
      <c r="K21" s="82">
        <v>29</v>
      </c>
      <c r="L21" s="23"/>
    </row>
    <row r="22" spans="1:13">
      <c r="A22" s="20" t="s">
        <v>88</v>
      </c>
      <c r="B22" s="20" t="s">
        <v>89</v>
      </c>
      <c r="C22" s="102" t="s">
        <v>24</v>
      </c>
      <c r="D22" s="21">
        <v>70</v>
      </c>
      <c r="E22" s="21">
        <v>10</v>
      </c>
      <c r="F22" s="82">
        <v>9800</v>
      </c>
      <c r="G22" s="95">
        <v>0</v>
      </c>
      <c r="H22" s="95">
        <v>175</v>
      </c>
      <c r="I22" s="95" t="s">
        <v>41</v>
      </c>
      <c r="J22" s="82">
        <v>21</v>
      </c>
      <c r="K22" s="82">
        <v>85</v>
      </c>
      <c r="L22" s="23"/>
    </row>
    <row r="23" spans="1:13">
      <c r="A23" s="20" t="s">
        <v>90</v>
      </c>
      <c r="B23" s="20" t="s">
        <v>91</v>
      </c>
      <c r="C23" s="102" t="s">
        <v>14</v>
      </c>
      <c r="D23" s="21">
        <v>15</v>
      </c>
      <c r="E23" s="21">
        <v>5</v>
      </c>
      <c r="F23" s="80">
        <f t="shared" ref="F23:F25" si="4">D23*$AC$2</f>
        <v>6375</v>
      </c>
      <c r="G23" s="95">
        <v>0</v>
      </c>
      <c r="H23" s="95">
        <v>240</v>
      </c>
      <c r="I23" s="95" t="s">
        <v>41</v>
      </c>
      <c r="J23" s="82">
        <v>14</v>
      </c>
      <c r="K23" s="82">
        <v>51</v>
      </c>
      <c r="L23" s="23"/>
    </row>
    <row r="24" spans="1:13">
      <c r="A24" s="20" t="s">
        <v>92</v>
      </c>
      <c r="B24" s="20" t="s">
        <v>93</v>
      </c>
      <c r="C24" s="102" t="s">
        <v>14</v>
      </c>
      <c r="D24" s="21">
        <v>15</v>
      </c>
      <c r="E24" s="21">
        <v>2</v>
      </c>
      <c r="F24" s="80">
        <f t="shared" si="4"/>
        <v>6375</v>
      </c>
      <c r="G24" s="95">
        <v>0</v>
      </c>
      <c r="H24" s="95">
        <v>150</v>
      </c>
      <c r="I24" s="95" t="s">
        <v>41</v>
      </c>
      <c r="J24" s="87">
        <v>8.3000000000000007</v>
      </c>
      <c r="K24" s="82">
        <v>29</v>
      </c>
      <c r="L24" s="23"/>
    </row>
    <row r="25" spans="1:13" s="32" customFormat="1" ht="21">
      <c r="A25" s="30" t="s">
        <v>220</v>
      </c>
      <c r="B25" s="39" t="s">
        <v>222</v>
      </c>
      <c r="C25" s="103" t="s">
        <v>14</v>
      </c>
      <c r="D25" s="40">
        <v>15</v>
      </c>
      <c r="E25" s="40">
        <v>1</v>
      </c>
      <c r="F25" s="84">
        <f t="shared" si="4"/>
        <v>6375</v>
      </c>
      <c r="G25" s="98">
        <v>0</v>
      </c>
      <c r="H25" s="98">
        <v>200</v>
      </c>
      <c r="I25" s="98" t="s">
        <v>41</v>
      </c>
      <c r="J25" s="88"/>
      <c r="K25" s="89"/>
      <c r="L25" s="41"/>
      <c r="M25" s="42" t="s">
        <v>221</v>
      </c>
    </row>
    <row r="26" spans="1:13" ht="21">
      <c r="A26" s="20" t="s">
        <v>94</v>
      </c>
      <c r="B26" s="20" t="s">
        <v>95</v>
      </c>
      <c r="C26" s="102" t="s">
        <v>17</v>
      </c>
      <c r="D26" s="21">
        <v>750</v>
      </c>
      <c r="E26" s="21">
        <v>1</v>
      </c>
      <c r="F26" s="80">
        <f>D26</f>
        <v>750</v>
      </c>
      <c r="G26" s="95">
        <v>0</v>
      </c>
      <c r="H26" s="95">
        <v>750</v>
      </c>
      <c r="I26" s="95" t="s">
        <v>48</v>
      </c>
      <c r="J26" s="82"/>
      <c r="K26" s="82">
        <v>4</v>
      </c>
      <c r="L26" s="23"/>
    </row>
    <row r="27" spans="1:13" s="43" customFormat="1" ht="21">
      <c r="A27" s="20" t="s">
        <v>96</v>
      </c>
      <c r="B27" s="20" t="s">
        <v>95</v>
      </c>
      <c r="C27" s="102" t="s">
        <v>17</v>
      </c>
      <c r="D27" s="21">
        <v>900</v>
      </c>
      <c r="E27" s="21">
        <v>1</v>
      </c>
      <c r="F27" s="80">
        <f>D27</f>
        <v>900</v>
      </c>
      <c r="G27" s="95">
        <v>0</v>
      </c>
      <c r="H27" s="95">
        <v>900</v>
      </c>
      <c r="I27" s="95" t="s">
        <v>48</v>
      </c>
      <c r="J27" s="82"/>
      <c r="K27" s="82">
        <v>4</v>
      </c>
      <c r="L27" s="23"/>
    </row>
    <row r="28" spans="1:13" s="43" customFormat="1">
      <c r="A28" s="37" t="s">
        <v>97</v>
      </c>
      <c r="B28" s="44"/>
      <c r="C28" s="99"/>
      <c r="D28" s="44"/>
      <c r="E28" s="44"/>
      <c r="F28" s="85"/>
      <c r="G28" s="99"/>
      <c r="H28" s="99"/>
      <c r="I28" s="99"/>
      <c r="J28" s="85"/>
      <c r="K28" s="85"/>
      <c r="L28" s="44"/>
    </row>
    <row r="29" spans="1:13" ht="21">
      <c r="A29" s="37" t="s">
        <v>98</v>
      </c>
      <c r="B29" s="44"/>
      <c r="C29" s="99"/>
      <c r="D29" s="44"/>
      <c r="E29" s="44"/>
      <c r="F29" s="85"/>
      <c r="G29" s="99"/>
      <c r="H29" s="99"/>
      <c r="I29" s="99"/>
      <c r="J29" s="85"/>
      <c r="K29" s="85"/>
      <c r="L29" s="44"/>
    </row>
    <row r="30" spans="1:13" s="43" customFormat="1" ht="21">
      <c r="A30" s="20" t="s">
        <v>99</v>
      </c>
      <c r="B30" s="20" t="s">
        <v>100</v>
      </c>
      <c r="C30" s="102" t="s">
        <v>26</v>
      </c>
      <c r="D30" s="21">
        <v>2000</v>
      </c>
      <c r="E30" s="21">
        <v>3</v>
      </c>
      <c r="F30" s="82">
        <f>D30</f>
        <v>2000</v>
      </c>
      <c r="G30" s="95">
        <v>0</v>
      </c>
      <c r="H30" s="95">
        <v>2000</v>
      </c>
      <c r="I30" s="95" t="s">
        <v>35</v>
      </c>
      <c r="J30" s="82">
        <v>28</v>
      </c>
      <c r="K30" s="82">
        <v>130</v>
      </c>
      <c r="L30" s="23"/>
    </row>
    <row r="31" spans="1:13" s="43" customFormat="1">
      <c r="A31" s="37" t="s">
        <v>229</v>
      </c>
      <c r="B31" s="20"/>
      <c r="C31" s="102"/>
      <c r="D31" s="21"/>
      <c r="E31" s="21"/>
      <c r="F31" s="82"/>
      <c r="G31" s="95"/>
      <c r="H31" s="95"/>
      <c r="I31" s="95"/>
      <c r="J31" s="82"/>
      <c r="K31" s="82"/>
      <c r="L31" s="23"/>
      <c r="M31" s="38" t="s">
        <v>230</v>
      </c>
    </row>
    <row r="32" spans="1:13" s="43" customFormat="1" ht="21">
      <c r="A32" s="37" t="s">
        <v>101</v>
      </c>
      <c r="B32" s="44"/>
      <c r="C32" s="99"/>
      <c r="D32" s="44"/>
      <c r="E32" s="44"/>
      <c r="F32" s="85"/>
      <c r="G32" s="99"/>
      <c r="H32" s="99"/>
      <c r="I32" s="99"/>
      <c r="J32" s="85"/>
      <c r="K32" s="85"/>
      <c r="L32" s="44"/>
    </row>
    <row r="33" spans="1:12">
      <c r="A33" s="37" t="s">
        <v>102</v>
      </c>
      <c r="B33" s="44"/>
      <c r="C33" s="99"/>
      <c r="D33" s="44"/>
      <c r="E33" s="44"/>
      <c r="F33" s="85"/>
      <c r="G33" s="99"/>
      <c r="H33" s="99"/>
      <c r="I33" s="99"/>
      <c r="J33" s="85"/>
      <c r="K33" s="85"/>
      <c r="L33" s="44"/>
    </row>
    <row r="34" spans="1:12">
      <c r="A34" s="37" t="s">
        <v>227</v>
      </c>
      <c r="B34" s="44"/>
      <c r="C34" s="99"/>
      <c r="D34" s="44"/>
      <c r="E34" s="44"/>
      <c r="F34" s="85"/>
      <c r="G34" s="99"/>
      <c r="H34" s="99"/>
      <c r="I34" s="99"/>
      <c r="J34" s="85"/>
      <c r="K34" s="85"/>
      <c r="L34" s="44"/>
    </row>
    <row r="35" spans="1:12" ht="21">
      <c r="A35" s="20" t="s">
        <v>103</v>
      </c>
      <c r="B35" s="20" t="s">
        <v>104</v>
      </c>
      <c r="C35" s="102" t="s">
        <v>14</v>
      </c>
      <c r="D35" s="21">
        <v>1</v>
      </c>
      <c r="E35" s="21">
        <v>5</v>
      </c>
      <c r="F35" s="80">
        <f t="shared" ref="F35:F37" si="5">D35*$AC$2</f>
        <v>425</v>
      </c>
      <c r="G35" s="95">
        <v>1</v>
      </c>
      <c r="H35" s="95">
        <v>50</v>
      </c>
      <c r="I35" s="95" t="s">
        <v>41</v>
      </c>
      <c r="J35" s="87">
        <v>1</v>
      </c>
      <c r="K35" s="87">
        <v>4</v>
      </c>
      <c r="L35" s="24"/>
    </row>
    <row r="36" spans="1:12" ht="21">
      <c r="A36" s="20" t="s">
        <v>105</v>
      </c>
      <c r="B36" s="20" t="s">
        <v>104</v>
      </c>
      <c r="C36" s="102" t="s">
        <v>14</v>
      </c>
      <c r="D36" s="21">
        <v>1</v>
      </c>
      <c r="E36" s="21">
        <v>5</v>
      </c>
      <c r="F36" s="80">
        <f t="shared" si="5"/>
        <v>425</v>
      </c>
      <c r="G36" s="95">
        <v>1</v>
      </c>
      <c r="H36" s="95">
        <v>50</v>
      </c>
      <c r="I36" s="95" t="s">
        <v>41</v>
      </c>
      <c r="J36" s="87">
        <v>1</v>
      </c>
      <c r="K36" s="87">
        <v>4</v>
      </c>
      <c r="L36" s="24"/>
    </row>
    <row r="37" spans="1:12">
      <c r="A37" s="20" t="s">
        <v>106</v>
      </c>
      <c r="B37" s="20" t="s">
        <v>107</v>
      </c>
      <c r="C37" s="102" t="s">
        <v>14</v>
      </c>
      <c r="D37" s="21">
        <v>1</v>
      </c>
      <c r="E37" s="21">
        <v>5</v>
      </c>
      <c r="F37" s="80">
        <f t="shared" si="5"/>
        <v>425</v>
      </c>
      <c r="G37" s="95">
        <v>1</v>
      </c>
      <c r="H37" s="95">
        <v>25</v>
      </c>
      <c r="I37" s="95" t="s">
        <v>41</v>
      </c>
      <c r="J37" s="87">
        <v>1.5</v>
      </c>
      <c r="K37" s="87">
        <v>5.5</v>
      </c>
      <c r="L37" s="24"/>
    </row>
    <row r="38" spans="1:12">
      <c r="A38" s="23" t="s">
        <v>108</v>
      </c>
      <c r="B38" s="20" t="s">
        <v>107</v>
      </c>
      <c r="C38" s="95" t="s">
        <v>16</v>
      </c>
      <c r="D38" s="23">
        <v>75</v>
      </c>
      <c r="E38" s="23">
        <v>3</v>
      </c>
      <c r="F38" s="82">
        <f>D38</f>
        <v>75</v>
      </c>
      <c r="G38" s="95">
        <v>1</v>
      </c>
      <c r="H38" s="95">
        <v>75</v>
      </c>
      <c r="I38" s="95" t="s">
        <v>48</v>
      </c>
      <c r="J38" s="82">
        <v>1</v>
      </c>
      <c r="K38" s="82">
        <v>3</v>
      </c>
      <c r="L38" s="23"/>
    </row>
    <row r="39" spans="1:12">
      <c r="A39" s="20" t="s">
        <v>109</v>
      </c>
      <c r="B39" s="20" t="s">
        <v>107</v>
      </c>
      <c r="C39" s="102" t="s">
        <v>17</v>
      </c>
      <c r="D39" s="21">
        <v>150</v>
      </c>
      <c r="E39" s="21">
        <v>1</v>
      </c>
      <c r="F39" s="80">
        <f>D39</f>
        <v>150</v>
      </c>
      <c r="G39" s="95">
        <v>1</v>
      </c>
      <c r="H39" s="95">
        <v>150</v>
      </c>
      <c r="I39" s="95" t="s">
        <v>48</v>
      </c>
      <c r="J39" s="82"/>
      <c r="K39" s="82">
        <v>4</v>
      </c>
      <c r="L39" s="23"/>
    </row>
    <row r="40" spans="1:12" ht="31.5">
      <c r="A40" s="20" t="s">
        <v>110</v>
      </c>
      <c r="B40" s="20" t="s">
        <v>107</v>
      </c>
      <c r="C40" s="95" t="s">
        <v>16</v>
      </c>
      <c r="D40" s="21">
        <v>75</v>
      </c>
      <c r="E40" s="21">
        <v>3</v>
      </c>
      <c r="F40" s="80">
        <f>D40</f>
        <v>75</v>
      </c>
      <c r="G40" s="95">
        <v>1</v>
      </c>
      <c r="H40" s="95">
        <v>75</v>
      </c>
      <c r="I40" s="95" t="s">
        <v>48</v>
      </c>
      <c r="J40" s="82">
        <v>1</v>
      </c>
      <c r="K40" s="82">
        <v>3</v>
      </c>
      <c r="L40" s="23"/>
    </row>
    <row r="41" spans="1:12" ht="31.5">
      <c r="A41" s="20" t="s">
        <v>111</v>
      </c>
      <c r="B41" s="20" t="s">
        <v>104</v>
      </c>
      <c r="C41" s="102" t="s">
        <v>14</v>
      </c>
      <c r="D41" s="21">
        <v>1</v>
      </c>
      <c r="E41" s="21">
        <v>5</v>
      </c>
      <c r="F41" s="80">
        <f>D41*$AC$2</f>
        <v>425</v>
      </c>
      <c r="G41" s="95">
        <v>1</v>
      </c>
      <c r="H41" s="95">
        <v>50</v>
      </c>
      <c r="I41" s="95" t="s">
        <v>41</v>
      </c>
      <c r="J41" s="87">
        <v>1</v>
      </c>
      <c r="K41" s="87">
        <v>4</v>
      </c>
      <c r="L41" s="24"/>
    </row>
    <row r="42" spans="1:12">
      <c r="A42" s="23" t="s">
        <v>112</v>
      </c>
      <c r="B42" s="23" t="s">
        <v>113</v>
      </c>
      <c r="C42" s="102" t="s">
        <v>17</v>
      </c>
      <c r="D42" s="23">
        <v>250</v>
      </c>
      <c r="E42" s="23">
        <v>1</v>
      </c>
      <c r="F42" s="82">
        <v>250</v>
      </c>
      <c r="G42" s="95">
        <v>0</v>
      </c>
      <c r="H42" s="95">
        <v>250</v>
      </c>
      <c r="I42" s="95" t="s">
        <v>48</v>
      </c>
      <c r="J42" s="82"/>
      <c r="K42" s="82">
        <v>4</v>
      </c>
      <c r="L42" s="23"/>
    </row>
    <row r="43" spans="1:12" ht="21">
      <c r="A43" s="20" t="s">
        <v>114</v>
      </c>
      <c r="B43" s="20" t="s">
        <v>104</v>
      </c>
      <c r="C43" s="102" t="s">
        <v>14</v>
      </c>
      <c r="D43" s="21">
        <v>1</v>
      </c>
      <c r="E43" s="21">
        <v>5</v>
      </c>
      <c r="F43" s="80">
        <f t="shared" ref="F43:F44" si="6">D43*$AC$2</f>
        <v>425</v>
      </c>
      <c r="G43" s="95">
        <v>1</v>
      </c>
      <c r="H43" s="95">
        <v>50</v>
      </c>
      <c r="I43" s="95" t="s">
        <v>41</v>
      </c>
      <c r="J43" s="87">
        <v>1</v>
      </c>
      <c r="K43" s="87">
        <v>4</v>
      </c>
      <c r="L43" s="24"/>
    </row>
    <row r="44" spans="1:12">
      <c r="A44" s="20" t="s">
        <v>115</v>
      </c>
      <c r="B44" s="20" t="s">
        <v>104</v>
      </c>
      <c r="C44" s="102" t="s">
        <v>14</v>
      </c>
      <c r="D44" s="21">
        <v>1</v>
      </c>
      <c r="E44" s="21">
        <v>5</v>
      </c>
      <c r="F44" s="80">
        <f t="shared" si="6"/>
        <v>425</v>
      </c>
      <c r="G44" s="95">
        <v>1</v>
      </c>
      <c r="H44" s="95">
        <v>50</v>
      </c>
      <c r="I44" s="95" t="s">
        <v>41</v>
      </c>
      <c r="J44" s="87">
        <v>1</v>
      </c>
      <c r="K44" s="87">
        <v>4</v>
      </c>
      <c r="L44" s="24"/>
    </row>
    <row r="45" spans="1:12" ht="21">
      <c r="A45" s="20" t="s">
        <v>116</v>
      </c>
      <c r="B45" s="20" t="s">
        <v>107</v>
      </c>
      <c r="C45" s="102" t="s">
        <v>17</v>
      </c>
      <c r="D45" s="21">
        <v>150</v>
      </c>
      <c r="E45" s="21">
        <v>1</v>
      </c>
      <c r="F45" s="80">
        <f>D45</f>
        <v>150</v>
      </c>
      <c r="G45" s="95">
        <v>1</v>
      </c>
      <c r="H45" s="95">
        <v>150</v>
      </c>
      <c r="I45" s="95" t="s">
        <v>48</v>
      </c>
      <c r="J45" s="82"/>
      <c r="K45" s="82">
        <v>4</v>
      </c>
      <c r="L45" s="23"/>
    </row>
    <row r="46" spans="1:12" ht="31.5">
      <c r="A46" s="20" t="s">
        <v>117</v>
      </c>
      <c r="B46" s="20" t="s">
        <v>118</v>
      </c>
      <c r="C46" s="102" t="s">
        <v>14</v>
      </c>
      <c r="D46" s="21">
        <v>7</v>
      </c>
      <c r="E46" s="21">
        <v>5</v>
      </c>
      <c r="F46" s="80">
        <f>D46*$AC$2</f>
        <v>2975</v>
      </c>
      <c r="G46" s="95">
        <v>0</v>
      </c>
      <c r="H46" s="95">
        <v>180</v>
      </c>
      <c r="I46" s="95" t="s">
        <v>41</v>
      </c>
      <c r="J46" s="87">
        <v>7</v>
      </c>
      <c r="K46" s="82">
        <v>32</v>
      </c>
      <c r="L46" s="23"/>
    </row>
    <row r="47" spans="1:12" ht="21">
      <c r="A47" s="20" t="s">
        <v>119</v>
      </c>
      <c r="B47" s="20" t="s">
        <v>113</v>
      </c>
      <c r="C47" s="102" t="s">
        <v>17</v>
      </c>
      <c r="D47" s="21">
        <v>250</v>
      </c>
      <c r="E47" s="21">
        <v>1</v>
      </c>
      <c r="F47" s="80">
        <f>D47</f>
        <v>250</v>
      </c>
      <c r="G47" s="95">
        <v>0</v>
      </c>
      <c r="H47" s="95">
        <v>250</v>
      </c>
      <c r="I47" s="95" t="s">
        <v>48</v>
      </c>
      <c r="J47" s="82"/>
      <c r="K47" s="82">
        <v>4</v>
      </c>
      <c r="L47" s="23"/>
    </row>
    <row r="48" spans="1:12">
      <c r="A48" s="20" t="s">
        <v>120</v>
      </c>
      <c r="B48" s="20" t="s">
        <v>104</v>
      </c>
      <c r="C48" s="102" t="s">
        <v>14</v>
      </c>
      <c r="D48" s="21">
        <v>1</v>
      </c>
      <c r="E48" s="21">
        <v>5</v>
      </c>
      <c r="F48" s="80">
        <f>D48*$AC$2</f>
        <v>425</v>
      </c>
      <c r="G48" s="95">
        <v>1</v>
      </c>
      <c r="H48" s="95">
        <v>50</v>
      </c>
      <c r="I48" s="95" t="s">
        <v>41</v>
      </c>
      <c r="J48" s="87">
        <v>1</v>
      </c>
      <c r="K48" s="87">
        <v>4</v>
      </c>
      <c r="L48" s="24"/>
    </row>
    <row r="49" spans="1:12" ht="21">
      <c r="A49" s="20" t="s">
        <v>121</v>
      </c>
      <c r="B49" s="20" t="s">
        <v>122</v>
      </c>
      <c r="C49" s="102" t="s">
        <v>24</v>
      </c>
      <c r="D49" s="21"/>
      <c r="E49" s="21"/>
      <c r="F49" s="82"/>
      <c r="G49" s="95">
        <v>0</v>
      </c>
      <c r="H49" s="95">
        <v>150</v>
      </c>
      <c r="I49" s="95" t="s">
        <v>49</v>
      </c>
      <c r="J49" s="90">
        <v>22</v>
      </c>
      <c r="K49" s="90">
        <v>138</v>
      </c>
      <c r="L49" s="45"/>
    </row>
    <row r="50" spans="1:12" s="43" customFormat="1" ht="21">
      <c r="A50" s="20" t="s">
        <v>123</v>
      </c>
      <c r="B50" s="20" t="s">
        <v>70</v>
      </c>
      <c r="C50" s="102" t="s">
        <v>14</v>
      </c>
      <c r="D50" s="21">
        <v>7</v>
      </c>
      <c r="E50" s="21">
        <v>5</v>
      </c>
      <c r="F50" s="80">
        <f t="shared" ref="F50:F53" si="7">D50*$AC$2</f>
        <v>2975</v>
      </c>
      <c r="G50" s="95">
        <v>0</v>
      </c>
      <c r="H50" s="95">
        <v>150</v>
      </c>
      <c r="I50" s="95" t="s">
        <v>41</v>
      </c>
      <c r="J50" s="87">
        <v>8.3000000000000007</v>
      </c>
      <c r="K50" s="82">
        <v>29</v>
      </c>
      <c r="L50" s="23"/>
    </row>
    <row r="51" spans="1:12">
      <c r="A51" s="37" t="s">
        <v>124</v>
      </c>
      <c r="B51" s="44"/>
      <c r="C51" s="99"/>
      <c r="D51" s="44"/>
      <c r="E51" s="44"/>
      <c r="F51" s="80"/>
      <c r="G51" s="99"/>
      <c r="H51" s="99"/>
      <c r="I51" s="99"/>
      <c r="J51" s="85"/>
      <c r="K51" s="85"/>
      <c r="L51" s="44"/>
    </row>
    <row r="52" spans="1:12">
      <c r="A52" s="20" t="s">
        <v>125</v>
      </c>
      <c r="B52" s="20" t="s">
        <v>126</v>
      </c>
      <c r="C52" s="102" t="s">
        <v>14</v>
      </c>
      <c r="D52" s="21">
        <v>1</v>
      </c>
      <c r="E52" s="21">
        <v>5</v>
      </c>
      <c r="F52" s="80">
        <f t="shared" si="7"/>
        <v>425</v>
      </c>
      <c r="G52" s="95">
        <v>1</v>
      </c>
      <c r="H52" s="95">
        <v>25</v>
      </c>
      <c r="I52" s="95" t="s">
        <v>41</v>
      </c>
      <c r="J52" s="87">
        <v>1.5</v>
      </c>
      <c r="K52" s="87">
        <v>5.5</v>
      </c>
      <c r="L52" s="24"/>
    </row>
    <row r="53" spans="1:12" ht="31.5">
      <c r="A53" s="20" t="s">
        <v>127</v>
      </c>
      <c r="B53" s="20" t="s">
        <v>107</v>
      </c>
      <c r="C53" s="102" t="s">
        <v>14</v>
      </c>
      <c r="D53" s="21">
        <v>1</v>
      </c>
      <c r="E53" s="21">
        <v>5</v>
      </c>
      <c r="F53" s="80">
        <f t="shared" si="7"/>
        <v>425</v>
      </c>
      <c r="G53" s="95">
        <v>1</v>
      </c>
      <c r="H53" s="95">
        <v>45</v>
      </c>
      <c r="I53" s="95" t="s">
        <v>41</v>
      </c>
      <c r="J53" s="87">
        <v>1.5</v>
      </c>
      <c r="K53" s="87">
        <v>5.5</v>
      </c>
      <c r="L53" s="24"/>
    </row>
    <row r="54" spans="1:12" ht="21">
      <c r="A54" s="20" t="s">
        <v>128</v>
      </c>
      <c r="B54" s="20" t="s">
        <v>107</v>
      </c>
      <c r="C54" s="95" t="s">
        <v>16</v>
      </c>
      <c r="D54" s="21">
        <v>75</v>
      </c>
      <c r="E54" s="21">
        <v>3</v>
      </c>
      <c r="F54" s="80">
        <f>D54</f>
        <v>75</v>
      </c>
      <c r="G54" s="95">
        <v>1</v>
      </c>
      <c r="H54" s="95">
        <v>75</v>
      </c>
      <c r="I54" s="95" t="s">
        <v>48</v>
      </c>
      <c r="J54" s="82">
        <v>1</v>
      </c>
      <c r="K54" s="82">
        <v>3</v>
      </c>
      <c r="L54" s="23"/>
    </row>
    <row r="55" spans="1:12">
      <c r="A55" s="20" t="s">
        <v>129</v>
      </c>
      <c r="B55" s="20" t="s">
        <v>130</v>
      </c>
      <c r="C55" s="102" t="s">
        <v>24</v>
      </c>
      <c r="D55" s="21">
        <v>4.1665000000000001</v>
      </c>
      <c r="E55" s="21">
        <v>5</v>
      </c>
      <c r="F55" s="82">
        <v>583.31000000000006</v>
      </c>
      <c r="G55" s="95">
        <v>1</v>
      </c>
      <c r="H55" s="95">
        <v>98</v>
      </c>
      <c r="I55" s="95" t="s">
        <v>41</v>
      </c>
      <c r="J55" s="87">
        <v>4.8</v>
      </c>
      <c r="K55" s="82">
        <v>24</v>
      </c>
      <c r="L55" s="23"/>
    </row>
    <row r="56" spans="1:12" ht="21">
      <c r="A56" s="20" t="s">
        <v>131</v>
      </c>
      <c r="B56" s="20" t="s">
        <v>66</v>
      </c>
      <c r="C56" s="95" t="s">
        <v>16</v>
      </c>
      <c r="D56" s="21">
        <v>200</v>
      </c>
      <c r="E56" s="21">
        <v>3</v>
      </c>
      <c r="F56" s="80">
        <f>D56</f>
        <v>200</v>
      </c>
      <c r="G56" s="95">
        <v>0</v>
      </c>
      <c r="H56" s="95">
        <v>200</v>
      </c>
      <c r="I56" s="95" t="s">
        <v>48</v>
      </c>
      <c r="J56" s="82">
        <v>1</v>
      </c>
      <c r="K56" s="82">
        <v>3</v>
      </c>
      <c r="L56" s="23"/>
    </row>
    <row r="57" spans="1:12" ht="21">
      <c r="A57" s="20" t="s">
        <v>132</v>
      </c>
      <c r="B57" s="20" t="s">
        <v>66</v>
      </c>
      <c r="C57" s="102" t="s">
        <v>14</v>
      </c>
      <c r="D57" s="21">
        <v>8.75</v>
      </c>
      <c r="E57" s="21">
        <v>5</v>
      </c>
      <c r="F57" s="80">
        <f t="shared" ref="F57:F62" si="8">D57*$AC$2</f>
        <v>3718.75</v>
      </c>
      <c r="G57" s="95">
        <v>0</v>
      </c>
      <c r="H57" s="95">
        <v>140</v>
      </c>
      <c r="I57" s="95" t="s">
        <v>41</v>
      </c>
      <c r="J57" s="87">
        <v>8.3000000000000007</v>
      </c>
      <c r="K57" s="82">
        <v>29</v>
      </c>
      <c r="L57" s="23"/>
    </row>
    <row r="58" spans="1:12" ht="21">
      <c r="A58" s="20" t="s">
        <v>133</v>
      </c>
      <c r="B58" s="20" t="s">
        <v>104</v>
      </c>
      <c r="C58" s="102" t="s">
        <v>14</v>
      </c>
      <c r="D58" s="21">
        <v>1</v>
      </c>
      <c r="E58" s="21">
        <v>5</v>
      </c>
      <c r="F58" s="80">
        <f t="shared" si="8"/>
        <v>425</v>
      </c>
      <c r="G58" s="95">
        <v>1</v>
      </c>
      <c r="H58" s="95">
        <v>50</v>
      </c>
      <c r="I58" s="95" t="s">
        <v>41</v>
      </c>
      <c r="J58" s="87">
        <v>1</v>
      </c>
      <c r="K58" s="87">
        <v>4</v>
      </c>
      <c r="L58" s="24"/>
    </row>
    <row r="59" spans="1:12" s="43" customFormat="1" ht="21">
      <c r="A59" s="20" t="s">
        <v>134</v>
      </c>
      <c r="B59" s="20" t="s">
        <v>52</v>
      </c>
      <c r="C59" s="102" t="s">
        <v>14</v>
      </c>
      <c r="D59" s="21">
        <v>20</v>
      </c>
      <c r="E59" s="21">
        <v>1</v>
      </c>
      <c r="F59" s="80">
        <f t="shared" si="8"/>
        <v>8500</v>
      </c>
      <c r="G59" s="95">
        <v>0</v>
      </c>
      <c r="H59" s="95">
        <v>200</v>
      </c>
      <c r="I59" s="95" t="s">
        <v>41</v>
      </c>
      <c r="J59" s="87">
        <v>6.5</v>
      </c>
      <c r="K59" s="82">
        <v>23</v>
      </c>
      <c r="L59" s="23"/>
    </row>
    <row r="60" spans="1:12" s="43" customFormat="1">
      <c r="A60" s="37" t="s">
        <v>247</v>
      </c>
      <c r="B60" s="20"/>
      <c r="C60" s="102"/>
      <c r="D60" s="21"/>
      <c r="E60" s="21"/>
      <c r="F60" s="80"/>
      <c r="G60" s="95"/>
      <c r="H60" s="95"/>
      <c r="I60" s="95"/>
      <c r="J60" s="87"/>
      <c r="K60" s="82"/>
      <c r="L60" s="23"/>
    </row>
    <row r="61" spans="1:12" s="43" customFormat="1" ht="21">
      <c r="A61" s="20" t="s">
        <v>135</v>
      </c>
      <c r="B61" s="20" t="s">
        <v>136</v>
      </c>
      <c r="C61" s="102" t="s">
        <v>14</v>
      </c>
      <c r="D61" s="21">
        <v>30</v>
      </c>
      <c r="E61" s="21">
        <v>5</v>
      </c>
      <c r="F61" s="80">
        <f t="shared" si="8"/>
        <v>12750</v>
      </c>
      <c r="G61" s="95">
        <v>0</v>
      </c>
      <c r="H61" s="95">
        <v>183</v>
      </c>
      <c r="I61" s="95" t="s">
        <v>41</v>
      </c>
      <c r="J61" s="82">
        <v>13</v>
      </c>
      <c r="K61" s="82">
        <v>46</v>
      </c>
      <c r="L61" s="23"/>
    </row>
    <row r="62" spans="1:12" ht="21">
      <c r="A62" s="20" t="s">
        <v>137</v>
      </c>
      <c r="B62" s="20" t="s">
        <v>138</v>
      </c>
      <c r="C62" s="102" t="s">
        <v>14</v>
      </c>
      <c r="D62" s="21">
        <v>10</v>
      </c>
      <c r="E62" s="21">
        <v>3</v>
      </c>
      <c r="F62" s="80">
        <f t="shared" si="8"/>
        <v>4250</v>
      </c>
      <c r="G62" s="95">
        <v>0</v>
      </c>
      <c r="H62" s="95">
        <v>250</v>
      </c>
      <c r="I62" s="95" t="s">
        <v>41</v>
      </c>
      <c r="J62" s="82">
        <v>28</v>
      </c>
      <c r="K62" s="82">
        <v>85</v>
      </c>
      <c r="L62" s="23"/>
    </row>
    <row r="63" spans="1:12" s="43" customFormat="1">
      <c r="A63" s="37" t="s">
        <v>139</v>
      </c>
      <c r="B63" s="44"/>
      <c r="C63" s="99"/>
      <c r="D63" s="44"/>
      <c r="E63" s="44"/>
      <c r="F63" s="85"/>
      <c r="G63" s="99"/>
      <c r="H63" s="99">
        <v>2</v>
      </c>
      <c r="I63" s="99" t="s">
        <v>41</v>
      </c>
      <c r="J63" s="85"/>
      <c r="K63" s="85"/>
      <c r="L63" s="44"/>
    </row>
    <row r="64" spans="1:12" s="35" customFormat="1">
      <c r="A64" s="37" t="s">
        <v>140</v>
      </c>
      <c r="B64" s="44"/>
      <c r="C64" s="99"/>
      <c r="D64" s="44"/>
      <c r="E64" s="44"/>
      <c r="F64" s="85"/>
      <c r="G64" s="99"/>
      <c r="H64" s="99"/>
      <c r="I64" s="99"/>
      <c r="J64" s="85"/>
      <c r="K64" s="85"/>
      <c r="L64" s="44"/>
    </row>
    <row r="65" spans="1:13" s="35" customFormat="1">
      <c r="A65" s="37" t="s">
        <v>11</v>
      </c>
      <c r="B65" s="44"/>
      <c r="C65" s="99"/>
      <c r="D65" s="44"/>
      <c r="E65" s="44"/>
      <c r="F65" s="85"/>
      <c r="G65" s="99"/>
      <c r="H65" s="99"/>
      <c r="I65" s="99"/>
      <c r="J65" s="85"/>
      <c r="K65" s="85"/>
      <c r="L65" s="44"/>
    </row>
    <row r="66" spans="1:13" s="32" customFormat="1" ht="21">
      <c r="A66" s="30" t="s">
        <v>141</v>
      </c>
      <c r="B66" s="30" t="s">
        <v>142</v>
      </c>
      <c r="C66" s="96" t="s">
        <v>14</v>
      </c>
      <c r="D66" s="30">
        <v>12.5</v>
      </c>
      <c r="E66" s="30">
        <v>2</v>
      </c>
      <c r="F66" s="84">
        <f>D66*$AC$2</f>
        <v>5312.5</v>
      </c>
      <c r="G66" s="96">
        <v>0</v>
      </c>
      <c r="H66" s="96">
        <v>200</v>
      </c>
      <c r="I66" s="96" t="s">
        <v>41</v>
      </c>
      <c r="J66" s="81"/>
      <c r="K66" s="81"/>
      <c r="L66" s="30"/>
      <c r="M66" s="31" t="s">
        <v>143</v>
      </c>
    </row>
    <row r="67" spans="1:13" s="32" customFormat="1" ht="21">
      <c r="A67" s="37" t="s">
        <v>226</v>
      </c>
      <c r="B67" s="30"/>
      <c r="C67" s="96"/>
      <c r="D67" s="30"/>
      <c r="E67" s="30"/>
      <c r="F67" s="84"/>
      <c r="G67" s="96"/>
      <c r="H67" s="96"/>
      <c r="I67" s="96"/>
      <c r="J67" s="81"/>
      <c r="K67" s="81"/>
      <c r="L67" s="30"/>
      <c r="M67" s="38" t="s">
        <v>228</v>
      </c>
    </row>
    <row r="68" spans="1:13" s="32" customFormat="1">
      <c r="A68" s="37" t="s">
        <v>25</v>
      </c>
      <c r="B68" s="30"/>
      <c r="C68" s="96"/>
      <c r="D68" s="30"/>
      <c r="E68" s="30"/>
      <c r="F68" s="84"/>
      <c r="G68" s="96"/>
      <c r="H68" s="96"/>
      <c r="I68" s="96"/>
      <c r="J68" s="81"/>
      <c r="K68" s="81"/>
      <c r="L68" s="30"/>
      <c r="M68" s="31"/>
    </row>
    <row r="69" spans="1:13" s="43" customFormat="1">
      <c r="A69" s="37" t="s">
        <v>144</v>
      </c>
      <c r="B69" s="44"/>
      <c r="C69" s="99"/>
      <c r="D69" s="44"/>
      <c r="E69" s="44"/>
      <c r="F69" s="85"/>
      <c r="G69" s="99"/>
      <c r="H69" s="99"/>
      <c r="I69" s="99"/>
      <c r="J69" s="85"/>
      <c r="K69" s="85"/>
      <c r="L69" s="44"/>
    </row>
    <row r="70" spans="1:13" ht="52.5">
      <c r="A70" s="20" t="s">
        <v>145</v>
      </c>
      <c r="B70" s="20" t="s">
        <v>146</v>
      </c>
      <c r="C70" s="102" t="s">
        <v>24</v>
      </c>
      <c r="D70" s="21">
        <v>10</v>
      </c>
      <c r="E70" s="21">
        <v>10</v>
      </c>
      <c r="F70" s="82">
        <v>1400</v>
      </c>
      <c r="G70" s="95">
        <v>0</v>
      </c>
      <c r="H70" s="95">
        <v>500</v>
      </c>
      <c r="I70" s="95" t="s">
        <v>49</v>
      </c>
      <c r="J70" s="82">
        <v>10</v>
      </c>
      <c r="K70" s="82">
        <v>42</v>
      </c>
      <c r="L70" s="23"/>
    </row>
    <row r="71" spans="1:13" ht="21">
      <c r="A71" s="20" t="s">
        <v>147</v>
      </c>
      <c r="B71" s="20" t="s">
        <v>148</v>
      </c>
      <c r="C71" s="102" t="s">
        <v>14</v>
      </c>
      <c r="D71" s="21">
        <v>2.5</v>
      </c>
      <c r="E71" s="21">
        <v>1</v>
      </c>
      <c r="F71" s="80">
        <f>D71*$AC$2</f>
        <v>1062.5</v>
      </c>
      <c r="G71" s="95">
        <v>0</v>
      </c>
      <c r="H71" s="95">
        <v>100</v>
      </c>
      <c r="I71" s="95" t="s">
        <v>41</v>
      </c>
      <c r="J71" s="87">
        <v>0.3</v>
      </c>
      <c r="K71" s="87">
        <v>2.5</v>
      </c>
      <c r="L71" s="24"/>
    </row>
    <row r="72" spans="1:13" ht="21">
      <c r="A72" s="20" t="s">
        <v>149</v>
      </c>
      <c r="B72" s="20" t="s">
        <v>150</v>
      </c>
      <c r="C72" s="95" t="s">
        <v>16</v>
      </c>
      <c r="D72" s="21">
        <v>240</v>
      </c>
      <c r="E72" s="21">
        <v>3</v>
      </c>
      <c r="F72" s="80">
        <f>D72</f>
        <v>240</v>
      </c>
      <c r="G72" s="95">
        <v>0</v>
      </c>
      <c r="H72" s="95">
        <v>240</v>
      </c>
      <c r="I72" s="95" t="s">
        <v>48</v>
      </c>
      <c r="J72" s="82">
        <v>1</v>
      </c>
      <c r="K72" s="82">
        <v>3</v>
      </c>
      <c r="L72" s="23"/>
    </row>
    <row r="73" spans="1:13" ht="21">
      <c r="A73" s="20" t="s">
        <v>21</v>
      </c>
      <c r="B73" s="20" t="s">
        <v>70</v>
      </c>
      <c r="C73" s="102" t="s">
        <v>14</v>
      </c>
      <c r="D73" s="21">
        <v>7</v>
      </c>
      <c r="E73" s="21">
        <v>5</v>
      </c>
      <c r="F73" s="80">
        <f t="shared" ref="F73:F79" si="9">D73*$AC$2</f>
        <v>2975</v>
      </c>
      <c r="G73" s="95">
        <v>0</v>
      </c>
      <c r="H73" s="95">
        <v>150</v>
      </c>
      <c r="I73" s="95" t="s">
        <v>41</v>
      </c>
      <c r="J73" s="87">
        <v>8.3000000000000007</v>
      </c>
      <c r="K73" s="82">
        <v>29</v>
      </c>
      <c r="L73" s="23"/>
    </row>
    <row r="74" spans="1:13" ht="21">
      <c r="A74" s="20" t="s">
        <v>151</v>
      </c>
      <c r="B74" s="20" t="s">
        <v>152</v>
      </c>
      <c r="C74" s="102" t="s">
        <v>14</v>
      </c>
      <c r="D74" s="21">
        <v>15</v>
      </c>
      <c r="E74" s="21">
        <v>5</v>
      </c>
      <c r="F74" s="80">
        <f t="shared" si="9"/>
        <v>6375</v>
      </c>
      <c r="G74" s="95">
        <v>0</v>
      </c>
      <c r="H74" s="95">
        <v>240</v>
      </c>
      <c r="I74" s="95" t="s">
        <v>41</v>
      </c>
      <c r="J74" s="82">
        <v>13</v>
      </c>
      <c r="K74" s="82">
        <v>36</v>
      </c>
      <c r="L74" s="23"/>
    </row>
    <row r="75" spans="1:13">
      <c r="A75" s="20" t="s">
        <v>153</v>
      </c>
      <c r="B75" s="20" t="s">
        <v>104</v>
      </c>
      <c r="C75" s="102" t="s">
        <v>14</v>
      </c>
      <c r="D75" s="21">
        <v>1</v>
      </c>
      <c r="E75" s="21">
        <v>5</v>
      </c>
      <c r="F75" s="80">
        <f t="shared" si="9"/>
        <v>425</v>
      </c>
      <c r="G75" s="95">
        <v>1</v>
      </c>
      <c r="H75" s="95">
        <v>50</v>
      </c>
      <c r="I75" s="95" t="s">
        <v>41</v>
      </c>
      <c r="J75" s="87">
        <v>1</v>
      </c>
      <c r="K75" s="87">
        <v>4</v>
      </c>
      <c r="L75" s="24"/>
    </row>
    <row r="76" spans="1:13">
      <c r="A76" s="46" t="s">
        <v>250</v>
      </c>
      <c r="B76" s="20"/>
      <c r="C76" s="102"/>
      <c r="D76" s="21"/>
      <c r="E76" s="21"/>
      <c r="F76" s="80"/>
      <c r="G76" s="95"/>
      <c r="H76" s="95"/>
      <c r="I76" s="95"/>
      <c r="J76" s="87"/>
      <c r="K76" s="87"/>
      <c r="L76" s="24"/>
    </row>
    <row r="77" spans="1:13" ht="21">
      <c r="A77" s="20" t="s">
        <v>27</v>
      </c>
      <c r="B77" s="20" t="s">
        <v>154</v>
      </c>
      <c r="C77" s="102" t="s">
        <v>14</v>
      </c>
      <c r="D77" s="21">
        <v>10</v>
      </c>
      <c r="E77" s="21">
        <v>5</v>
      </c>
      <c r="F77" s="80">
        <f t="shared" si="9"/>
        <v>4250</v>
      </c>
      <c r="G77" s="95">
        <v>0</v>
      </c>
      <c r="H77" s="95">
        <v>100</v>
      </c>
      <c r="I77" s="95" t="s">
        <v>41</v>
      </c>
      <c r="J77" s="87">
        <v>6.5</v>
      </c>
      <c r="K77" s="82">
        <v>23</v>
      </c>
      <c r="L77" s="23"/>
    </row>
    <row r="78" spans="1:13" ht="21">
      <c r="A78" s="20" t="s">
        <v>155</v>
      </c>
      <c r="B78" s="20" t="s">
        <v>156</v>
      </c>
      <c r="C78" s="102" t="s">
        <v>14</v>
      </c>
      <c r="D78" s="21">
        <v>20</v>
      </c>
      <c r="E78" s="21">
        <v>1</v>
      </c>
      <c r="F78" s="80">
        <f t="shared" si="9"/>
        <v>8500</v>
      </c>
      <c r="G78" s="95">
        <v>0</v>
      </c>
      <c r="H78" s="95">
        <v>200</v>
      </c>
      <c r="I78" s="95" t="s">
        <v>41</v>
      </c>
      <c r="J78" s="87">
        <v>6.5</v>
      </c>
      <c r="K78" s="82">
        <v>23</v>
      </c>
      <c r="L78" s="23"/>
    </row>
    <row r="79" spans="1:13" ht="31.5">
      <c r="A79" s="20" t="s">
        <v>157</v>
      </c>
      <c r="B79" s="20" t="s">
        <v>79</v>
      </c>
      <c r="C79" s="102" t="s">
        <v>14</v>
      </c>
      <c r="D79" s="21">
        <v>5</v>
      </c>
      <c r="E79" s="21">
        <v>5</v>
      </c>
      <c r="F79" s="80">
        <f t="shared" si="9"/>
        <v>2125</v>
      </c>
      <c r="G79" s="95">
        <v>1</v>
      </c>
      <c r="H79" s="95">
        <v>100</v>
      </c>
      <c r="I79" s="95" t="s">
        <v>41</v>
      </c>
      <c r="J79" s="87">
        <v>4.2</v>
      </c>
      <c r="K79" s="82">
        <v>16</v>
      </c>
      <c r="L79" s="23"/>
    </row>
    <row r="80" spans="1:13">
      <c r="A80" s="46" t="s">
        <v>158</v>
      </c>
      <c r="B80" s="20"/>
      <c r="C80" s="102"/>
      <c r="D80" s="21"/>
      <c r="E80" s="21"/>
      <c r="F80" s="80"/>
      <c r="G80" s="95"/>
      <c r="H80" s="95"/>
      <c r="I80" s="95"/>
      <c r="J80" s="87"/>
      <c r="K80" s="82"/>
      <c r="L80" s="23"/>
    </row>
    <row r="81" spans="1:13">
      <c r="A81" s="46" t="s">
        <v>13</v>
      </c>
      <c r="B81" s="20"/>
      <c r="C81" s="102"/>
      <c r="D81" s="21"/>
      <c r="E81" s="21"/>
      <c r="F81" s="80"/>
      <c r="G81" s="95"/>
      <c r="H81" s="95"/>
      <c r="I81" s="95"/>
      <c r="J81" s="87"/>
      <c r="K81" s="82"/>
      <c r="L81" s="23"/>
    </row>
    <row r="82" spans="1:13" ht="55.5" customHeight="1">
      <c r="A82" s="20" t="s">
        <v>159</v>
      </c>
      <c r="B82" s="20" t="s">
        <v>104</v>
      </c>
      <c r="C82" s="102" t="s">
        <v>14</v>
      </c>
      <c r="D82" s="21">
        <v>1</v>
      </c>
      <c r="E82" s="21">
        <v>5</v>
      </c>
      <c r="F82" s="80">
        <f t="shared" ref="F82:F89" si="10">D82*$AC$2</f>
        <v>425</v>
      </c>
      <c r="G82" s="95">
        <v>1</v>
      </c>
      <c r="H82" s="95">
        <v>50</v>
      </c>
      <c r="I82" s="95" t="s">
        <v>41</v>
      </c>
      <c r="J82" s="87">
        <v>1</v>
      </c>
      <c r="K82" s="87">
        <v>4</v>
      </c>
      <c r="L82" s="24"/>
    </row>
    <row r="83" spans="1:13" ht="31.5">
      <c r="A83" s="20" t="s">
        <v>160</v>
      </c>
      <c r="B83" s="20" t="s">
        <v>104</v>
      </c>
      <c r="C83" s="102" t="s">
        <v>14</v>
      </c>
      <c r="D83" s="21">
        <v>1</v>
      </c>
      <c r="E83" s="21">
        <v>5</v>
      </c>
      <c r="F83" s="80">
        <f t="shared" si="10"/>
        <v>425</v>
      </c>
      <c r="G83" s="95">
        <v>1</v>
      </c>
      <c r="H83" s="95">
        <v>50</v>
      </c>
      <c r="I83" s="95" t="s">
        <v>41</v>
      </c>
      <c r="J83" s="87">
        <v>1</v>
      </c>
      <c r="K83" s="87">
        <v>4</v>
      </c>
      <c r="L83" s="24"/>
    </row>
    <row r="84" spans="1:13" ht="21">
      <c r="A84" s="20" t="s">
        <v>161</v>
      </c>
      <c r="B84" s="20" t="s">
        <v>162</v>
      </c>
      <c r="C84" s="102" t="s">
        <v>14</v>
      </c>
      <c r="D84" s="21">
        <v>40</v>
      </c>
      <c r="E84" s="21">
        <v>1</v>
      </c>
      <c r="F84" s="80">
        <f t="shared" si="10"/>
        <v>17000</v>
      </c>
      <c r="G84" s="95">
        <v>0</v>
      </c>
      <c r="H84" s="95">
        <v>300</v>
      </c>
      <c r="I84" s="95" t="s">
        <v>41</v>
      </c>
      <c r="J84" s="82">
        <v>13</v>
      </c>
      <c r="K84" s="82">
        <v>40</v>
      </c>
      <c r="L84" s="23"/>
    </row>
    <row r="85" spans="1:13" ht="42">
      <c r="A85" s="20" t="s">
        <v>163</v>
      </c>
      <c r="B85" s="20" t="s">
        <v>79</v>
      </c>
      <c r="C85" s="102" t="s">
        <v>14</v>
      </c>
      <c r="D85" s="21">
        <v>5</v>
      </c>
      <c r="E85" s="21">
        <v>5</v>
      </c>
      <c r="F85" s="80">
        <f t="shared" si="10"/>
        <v>2125</v>
      </c>
      <c r="G85" s="95">
        <v>1</v>
      </c>
      <c r="H85" s="95">
        <v>100</v>
      </c>
      <c r="I85" s="95" t="s">
        <v>41</v>
      </c>
      <c r="J85" s="87">
        <v>4.2</v>
      </c>
      <c r="K85" s="82">
        <v>16</v>
      </c>
      <c r="L85" s="23"/>
    </row>
    <row r="86" spans="1:13" ht="42">
      <c r="A86" s="20" t="s">
        <v>164</v>
      </c>
      <c r="B86" s="20" t="s">
        <v>79</v>
      </c>
      <c r="C86" s="102" t="s">
        <v>14</v>
      </c>
      <c r="D86" s="21">
        <v>5</v>
      </c>
      <c r="E86" s="21">
        <v>5</v>
      </c>
      <c r="F86" s="80">
        <f t="shared" si="10"/>
        <v>2125</v>
      </c>
      <c r="G86" s="95">
        <v>1</v>
      </c>
      <c r="H86" s="95">
        <v>50</v>
      </c>
      <c r="I86" s="95" t="s">
        <v>41</v>
      </c>
      <c r="J86" s="87">
        <v>4.2</v>
      </c>
      <c r="K86" s="82">
        <v>16</v>
      </c>
      <c r="L86" s="23"/>
    </row>
    <row r="87" spans="1:13" ht="21">
      <c r="A87" s="37" t="s">
        <v>18</v>
      </c>
      <c r="B87" s="20"/>
      <c r="C87" s="102"/>
      <c r="D87" s="21"/>
      <c r="E87" s="21"/>
      <c r="F87" s="80"/>
      <c r="G87" s="95"/>
      <c r="H87" s="95"/>
      <c r="I87" s="95"/>
      <c r="J87" s="87"/>
      <c r="K87" s="82"/>
      <c r="L87" s="23"/>
    </row>
    <row r="88" spans="1:13">
      <c r="A88" s="20" t="s">
        <v>165</v>
      </c>
      <c r="B88" s="20" t="s">
        <v>162</v>
      </c>
      <c r="C88" s="102" t="s">
        <v>14</v>
      </c>
      <c r="D88" s="21">
        <v>20</v>
      </c>
      <c r="E88" s="21">
        <v>2</v>
      </c>
      <c r="F88" s="80">
        <f t="shared" si="10"/>
        <v>8500</v>
      </c>
      <c r="G88" s="95">
        <v>0</v>
      </c>
      <c r="H88" s="95">
        <v>300</v>
      </c>
      <c r="I88" s="95" t="s">
        <v>41</v>
      </c>
      <c r="J88" s="82">
        <v>13</v>
      </c>
      <c r="K88" s="82">
        <v>40</v>
      </c>
      <c r="L88" s="23"/>
    </row>
    <row r="89" spans="1:13" s="32" customFormat="1">
      <c r="A89" s="30" t="s">
        <v>166</v>
      </c>
      <c r="B89" s="30" t="s">
        <v>167</v>
      </c>
      <c r="C89" s="96" t="s">
        <v>14</v>
      </c>
      <c r="D89" s="30">
        <v>1.1000000000000001</v>
      </c>
      <c r="E89" s="30">
        <v>3</v>
      </c>
      <c r="F89" s="84">
        <f t="shared" si="10"/>
        <v>467.50000000000006</v>
      </c>
      <c r="G89" s="96">
        <v>0</v>
      </c>
      <c r="H89" s="96">
        <v>50</v>
      </c>
      <c r="I89" s="96" t="s">
        <v>41</v>
      </c>
      <c r="J89" s="81"/>
      <c r="K89" s="81"/>
      <c r="L89" s="30"/>
      <c r="M89" s="31" t="s">
        <v>168</v>
      </c>
    </row>
    <row r="90" spans="1:13" s="43" customFormat="1" ht="28.5" customHeight="1">
      <c r="A90" s="37" t="s">
        <v>169</v>
      </c>
      <c r="B90" s="44"/>
      <c r="C90" s="99"/>
      <c r="D90" s="44"/>
      <c r="E90" s="44"/>
      <c r="F90" s="85"/>
      <c r="G90" s="99"/>
      <c r="H90" s="99"/>
      <c r="I90" s="99"/>
      <c r="J90" s="85"/>
      <c r="K90" s="85"/>
      <c r="L90" s="44"/>
    </row>
    <row r="91" spans="1:13" ht="21">
      <c r="A91" s="20" t="s">
        <v>170</v>
      </c>
      <c r="B91" s="20" t="s">
        <v>171</v>
      </c>
      <c r="C91" s="102" t="s">
        <v>14</v>
      </c>
      <c r="D91" s="21">
        <v>10</v>
      </c>
      <c r="E91" s="21">
        <v>1</v>
      </c>
      <c r="F91" s="80">
        <f t="shared" ref="F91:F92" si="11">D91*$AC$2</f>
        <v>4250</v>
      </c>
      <c r="G91" s="95">
        <v>1</v>
      </c>
      <c r="H91" s="95">
        <v>160</v>
      </c>
      <c r="I91" s="95" t="s">
        <v>41</v>
      </c>
      <c r="J91" s="87">
        <v>3.6</v>
      </c>
      <c r="K91" s="87">
        <v>8.9</v>
      </c>
      <c r="L91" s="24"/>
    </row>
    <row r="92" spans="1:13" ht="21">
      <c r="A92" s="20" t="s">
        <v>172</v>
      </c>
      <c r="B92" s="20" t="s">
        <v>173</v>
      </c>
      <c r="C92" s="102" t="s">
        <v>14</v>
      </c>
      <c r="D92" s="21">
        <v>5</v>
      </c>
      <c r="E92" s="21">
        <v>3</v>
      </c>
      <c r="F92" s="80">
        <f t="shared" si="11"/>
        <v>2125</v>
      </c>
      <c r="G92" s="95">
        <v>0</v>
      </c>
      <c r="H92" s="95">
        <v>150</v>
      </c>
      <c r="I92" s="95" t="s">
        <v>41</v>
      </c>
      <c r="J92" s="87">
        <v>5</v>
      </c>
      <c r="K92" s="82">
        <v>10</v>
      </c>
      <c r="L92" s="23"/>
    </row>
    <row r="93" spans="1:13">
      <c r="A93" s="37" t="s">
        <v>240</v>
      </c>
      <c r="B93" s="20"/>
      <c r="C93" s="102"/>
      <c r="D93" s="21"/>
      <c r="E93" s="21"/>
      <c r="F93" s="80"/>
      <c r="G93" s="95"/>
      <c r="H93" s="95"/>
      <c r="I93" s="95"/>
      <c r="J93" s="87"/>
      <c r="K93" s="82"/>
      <c r="L93" s="23"/>
      <c r="M93" s="38" t="s">
        <v>241</v>
      </c>
    </row>
    <row r="94" spans="1:13" s="32" customFormat="1" ht="21">
      <c r="A94" s="30" t="s">
        <v>174</v>
      </c>
      <c r="B94" s="30" t="s">
        <v>175</v>
      </c>
      <c r="C94" s="96" t="s">
        <v>16</v>
      </c>
      <c r="D94" s="30">
        <v>66.7</v>
      </c>
      <c r="E94" s="30">
        <v>3</v>
      </c>
      <c r="F94" s="81">
        <f>D94</f>
        <v>66.7</v>
      </c>
      <c r="G94" s="96">
        <v>0</v>
      </c>
      <c r="H94" s="96">
        <f>F94</f>
        <v>66.7</v>
      </c>
      <c r="I94" s="96" t="s">
        <v>41</v>
      </c>
      <c r="J94" s="81">
        <v>1</v>
      </c>
      <c r="K94" s="81">
        <v>3</v>
      </c>
      <c r="L94" s="30"/>
      <c r="M94" s="31" t="s">
        <v>176</v>
      </c>
    </row>
    <row r="95" spans="1:13" s="32" customFormat="1">
      <c r="A95" s="37" t="s">
        <v>217</v>
      </c>
      <c r="B95" s="30"/>
      <c r="C95" s="96"/>
      <c r="D95" s="30"/>
      <c r="E95" s="30"/>
      <c r="F95" s="81"/>
      <c r="G95" s="96"/>
      <c r="H95" s="96"/>
      <c r="I95" s="96"/>
      <c r="J95" s="81"/>
      <c r="K95" s="81"/>
      <c r="L95" s="30"/>
      <c r="M95" s="31"/>
    </row>
    <row r="96" spans="1:13" s="32" customFormat="1" ht="21">
      <c r="A96" s="37" t="s">
        <v>218</v>
      </c>
      <c r="B96" s="30"/>
      <c r="C96" s="96"/>
      <c r="D96" s="30"/>
      <c r="E96" s="30"/>
      <c r="F96" s="81"/>
      <c r="G96" s="96"/>
      <c r="H96" s="96"/>
      <c r="I96" s="96"/>
      <c r="J96" s="81"/>
      <c r="K96" s="81"/>
      <c r="L96" s="30"/>
      <c r="M96" s="31"/>
    </row>
    <row r="97" spans="1:13" s="35" customFormat="1" ht="21">
      <c r="A97" s="20" t="s">
        <v>177</v>
      </c>
      <c r="B97" s="20" t="s">
        <v>52</v>
      </c>
      <c r="C97" s="102" t="s">
        <v>14</v>
      </c>
      <c r="D97" s="21">
        <v>30</v>
      </c>
      <c r="E97" s="21">
        <v>1</v>
      </c>
      <c r="F97" s="80">
        <f t="shared" ref="F97:F104" si="12">D97*$AC$2</f>
        <v>12750</v>
      </c>
      <c r="G97" s="95">
        <v>0</v>
      </c>
      <c r="H97" s="95">
        <v>300</v>
      </c>
      <c r="I97" s="95" t="s">
        <v>41</v>
      </c>
      <c r="J97" s="87">
        <v>6.5</v>
      </c>
      <c r="K97" s="82">
        <v>23</v>
      </c>
      <c r="L97" s="23"/>
    </row>
    <row r="98" spans="1:13" s="35" customFormat="1">
      <c r="A98" s="20" t="s">
        <v>15</v>
      </c>
      <c r="B98" s="20" t="s">
        <v>178</v>
      </c>
      <c r="C98" s="102" t="s">
        <v>14</v>
      </c>
      <c r="D98" s="21">
        <v>10</v>
      </c>
      <c r="E98" s="21">
        <v>5</v>
      </c>
      <c r="F98" s="80">
        <f>D98*AC2</f>
        <v>4250</v>
      </c>
      <c r="G98" s="95">
        <v>0</v>
      </c>
      <c r="H98" s="95">
        <v>269.5</v>
      </c>
      <c r="I98" s="95" t="s">
        <v>41</v>
      </c>
      <c r="J98" s="87"/>
      <c r="K98" s="82"/>
      <c r="L98" s="23"/>
    </row>
    <row r="99" spans="1:13">
      <c r="A99" s="20" t="s">
        <v>179</v>
      </c>
      <c r="B99" s="20" t="s">
        <v>180</v>
      </c>
      <c r="C99" s="102" t="s">
        <v>14</v>
      </c>
      <c r="D99" s="21">
        <v>200</v>
      </c>
      <c r="E99" s="21">
        <v>3</v>
      </c>
      <c r="F99" s="80">
        <f t="shared" si="12"/>
        <v>85000</v>
      </c>
      <c r="G99" s="95">
        <v>0</v>
      </c>
      <c r="H99" s="95">
        <v>308.89999999999998</v>
      </c>
      <c r="I99" s="95" t="s">
        <v>41</v>
      </c>
      <c r="J99" s="82">
        <v>16</v>
      </c>
      <c r="K99" s="82">
        <v>65</v>
      </c>
      <c r="L99" s="23"/>
    </row>
    <row r="100" spans="1:13">
      <c r="A100" s="37" t="s">
        <v>216</v>
      </c>
      <c r="B100" s="20"/>
      <c r="C100" s="102"/>
      <c r="D100" s="21"/>
      <c r="E100" s="21"/>
      <c r="F100" s="80"/>
      <c r="G100" s="95"/>
      <c r="H100" s="95"/>
      <c r="I100" s="95"/>
      <c r="J100" s="82"/>
      <c r="K100" s="82"/>
      <c r="L100" s="23"/>
    </row>
    <row r="101" spans="1:13">
      <c r="A101" s="37" t="s">
        <v>244</v>
      </c>
      <c r="B101" s="20"/>
      <c r="C101" s="102"/>
      <c r="D101" s="21"/>
      <c r="E101" s="21"/>
      <c r="F101" s="80"/>
      <c r="G101" s="95"/>
      <c r="H101" s="95"/>
      <c r="I101" s="95"/>
      <c r="J101" s="82"/>
      <c r="K101" s="82"/>
      <c r="L101" s="23"/>
      <c r="M101" s="38" t="s">
        <v>245</v>
      </c>
    </row>
    <row r="102" spans="1:13">
      <c r="A102" s="37" t="s">
        <v>219</v>
      </c>
      <c r="B102" s="20"/>
      <c r="C102" s="102"/>
      <c r="D102" s="21"/>
      <c r="E102" s="21"/>
      <c r="F102" s="80"/>
      <c r="G102" s="95"/>
      <c r="H102" s="95"/>
      <c r="I102" s="95"/>
      <c r="J102" s="82"/>
      <c r="K102" s="82"/>
      <c r="L102" s="23"/>
    </row>
    <row r="103" spans="1:13" ht="21">
      <c r="A103" s="20" t="s">
        <v>181</v>
      </c>
      <c r="B103" s="20" t="s">
        <v>162</v>
      </c>
      <c r="C103" s="102" t="s">
        <v>14</v>
      </c>
      <c r="D103" s="21">
        <v>40</v>
      </c>
      <c r="E103" s="21">
        <v>1</v>
      </c>
      <c r="F103" s="80">
        <f t="shared" si="12"/>
        <v>17000</v>
      </c>
      <c r="G103" s="95">
        <v>0</v>
      </c>
      <c r="H103" s="95">
        <v>300</v>
      </c>
      <c r="I103" s="95" t="s">
        <v>41</v>
      </c>
      <c r="J103" s="82">
        <v>13</v>
      </c>
      <c r="K103" s="82">
        <v>40</v>
      </c>
      <c r="L103" s="23"/>
    </row>
    <row r="104" spans="1:13" ht="31.5">
      <c r="A104" s="20" t="s">
        <v>182</v>
      </c>
      <c r="B104" s="20" t="s">
        <v>171</v>
      </c>
      <c r="C104" s="102" t="s">
        <v>14</v>
      </c>
      <c r="D104" s="21">
        <v>2</v>
      </c>
      <c r="E104" s="21">
        <v>5</v>
      </c>
      <c r="F104" s="80">
        <f t="shared" si="12"/>
        <v>850</v>
      </c>
      <c r="G104" s="95">
        <v>1</v>
      </c>
      <c r="H104" s="95">
        <v>100</v>
      </c>
      <c r="I104" s="95" t="s">
        <v>41</v>
      </c>
      <c r="J104" s="87">
        <v>3.6</v>
      </c>
      <c r="K104" s="87">
        <v>8.9</v>
      </c>
      <c r="L104" s="24"/>
    </row>
    <row r="105" spans="1:13">
      <c r="A105" s="37" t="s">
        <v>183</v>
      </c>
      <c r="B105" s="44"/>
      <c r="C105" s="99"/>
      <c r="D105" s="44"/>
      <c r="E105" s="44"/>
      <c r="F105" s="85"/>
      <c r="G105" s="99"/>
      <c r="H105" s="99"/>
      <c r="I105" s="99"/>
      <c r="J105" s="85"/>
      <c r="K105" s="85"/>
      <c r="L105" s="44"/>
    </row>
    <row r="106" spans="1:13" s="43" customFormat="1" ht="21">
      <c r="A106" s="20" t="s">
        <v>184</v>
      </c>
      <c r="B106" s="20" t="s">
        <v>95</v>
      </c>
      <c r="C106" s="95" t="s">
        <v>16</v>
      </c>
      <c r="D106" s="21">
        <v>275</v>
      </c>
      <c r="E106" s="21">
        <v>3</v>
      </c>
      <c r="F106" s="80">
        <f>D106</f>
        <v>275</v>
      </c>
      <c r="G106" s="95">
        <v>0</v>
      </c>
      <c r="H106" s="95">
        <v>275</v>
      </c>
      <c r="I106" s="95" t="s">
        <v>48</v>
      </c>
      <c r="J106" s="82">
        <v>1</v>
      </c>
      <c r="K106" s="82">
        <v>3</v>
      </c>
      <c r="L106" s="23"/>
    </row>
    <row r="107" spans="1:13" ht="21">
      <c r="A107" s="20" t="s">
        <v>185</v>
      </c>
      <c r="B107" s="20" t="s">
        <v>186</v>
      </c>
      <c r="C107" s="95" t="s">
        <v>16</v>
      </c>
      <c r="D107" s="21">
        <v>430</v>
      </c>
      <c r="E107" s="21">
        <v>3</v>
      </c>
      <c r="F107" s="80">
        <f>D107</f>
        <v>430</v>
      </c>
      <c r="G107" s="95">
        <v>0</v>
      </c>
      <c r="H107" s="95">
        <v>430</v>
      </c>
      <c r="I107" s="95" t="s">
        <v>48</v>
      </c>
      <c r="J107" s="82">
        <v>1</v>
      </c>
      <c r="K107" s="82">
        <v>3</v>
      </c>
      <c r="L107" s="23"/>
    </row>
    <row r="108" spans="1:13">
      <c r="A108" s="23" t="s">
        <v>187</v>
      </c>
      <c r="B108" s="23" t="s">
        <v>186</v>
      </c>
      <c r="C108" s="95" t="s">
        <v>22</v>
      </c>
      <c r="D108" s="23">
        <v>400000</v>
      </c>
      <c r="E108" s="23">
        <v>1</v>
      </c>
      <c r="F108" s="82">
        <f>D108</f>
        <v>400000</v>
      </c>
      <c r="G108" s="95">
        <v>0</v>
      </c>
      <c r="H108" s="95">
        <v>400</v>
      </c>
      <c r="I108" s="95" t="s">
        <v>49</v>
      </c>
      <c r="J108" s="82">
        <v>400</v>
      </c>
      <c r="K108" s="82">
        <v>400</v>
      </c>
      <c r="L108" s="23"/>
    </row>
    <row r="109" spans="1:13">
      <c r="A109" s="23" t="s">
        <v>188</v>
      </c>
      <c r="B109" s="23" t="s">
        <v>186</v>
      </c>
      <c r="C109" s="95" t="s">
        <v>22</v>
      </c>
      <c r="D109" s="23">
        <v>64470.000000000007</v>
      </c>
      <c r="E109" s="23">
        <v>1</v>
      </c>
      <c r="F109" s="82">
        <f>D109</f>
        <v>64470.000000000007</v>
      </c>
      <c r="G109" s="95">
        <v>0</v>
      </c>
      <c r="H109" s="95">
        <v>644.70000000000005</v>
      </c>
      <c r="I109" s="95" t="s">
        <v>49</v>
      </c>
      <c r="J109" s="82">
        <f>H109</f>
        <v>644.70000000000005</v>
      </c>
      <c r="K109" s="82">
        <f>H109</f>
        <v>644.70000000000005</v>
      </c>
      <c r="L109" s="23"/>
    </row>
    <row r="110" spans="1:13">
      <c r="A110" s="20" t="s">
        <v>189</v>
      </c>
      <c r="B110" s="20" t="s">
        <v>178</v>
      </c>
      <c r="C110" s="102" t="s">
        <v>14</v>
      </c>
      <c r="D110" s="21">
        <v>15</v>
      </c>
      <c r="E110" s="21">
        <v>4</v>
      </c>
      <c r="F110" s="80">
        <f t="shared" ref="F110:F112" si="13">D110*$AC$2</f>
        <v>6375</v>
      </c>
      <c r="G110" s="95">
        <v>0</v>
      </c>
      <c r="H110" s="95">
        <v>169.785</v>
      </c>
      <c r="I110" s="95" t="s">
        <v>41</v>
      </c>
      <c r="J110" s="82">
        <v>12</v>
      </c>
      <c r="K110" s="82">
        <v>38</v>
      </c>
      <c r="L110" s="23"/>
    </row>
    <row r="111" spans="1:13" ht="21">
      <c r="A111" s="20" t="s">
        <v>190</v>
      </c>
      <c r="B111" s="20" t="s">
        <v>171</v>
      </c>
      <c r="C111" s="102" t="s">
        <v>14</v>
      </c>
      <c r="D111" s="21">
        <v>2</v>
      </c>
      <c r="E111" s="21">
        <v>5</v>
      </c>
      <c r="F111" s="80">
        <f t="shared" si="13"/>
        <v>850</v>
      </c>
      <c r="G111" s="95">
        <v>1</v>
      </c>
      <c r="H111" s="95">
        <v>100</v>
      </c>
      <c r="I111" s="95" t="s">
        <v>41</v>
      </c>
      <c r="J111" s="87">
        <v>3.6</v>
      </c>
      <c r="K111" s="87">
        <v>8.9</v>
      </c>
      <c r="L111" s="24"/>
    </row>
    <row r="112" spans="1:13" ht="21">
      <c r="A112" s="20" t="s">
        <v>191</v>
      </c>
      <c r="B112" s="20" t="s">
        <v>171</v>
      </c>
      <c r="C112" s="102" t="s">
        <v>14</v>
      </c>
      <c r="D112" s="21">
        <v>2</v>
      </c>
      <c r="E112" s="21">
        <v>5</v>
      </c>
      <c r="F112" s="80">
        <f t="shared" si="13"/>
        <v>850</v>
      </c>
      <c r="G112" s="95">
        <v>1</v>
      </c>
      <c r="H112" s="95">
        <v>20</v>
      </c>
      <c r="I112" s="95" t="s">
        <v>41</v>
      </c>
      <c r="J112" s="87">
        <v>3.6</v>
      </c>
      <c r="K112" s="87">
        <v>8.9</v>
      </c>
      <c r="L112" s="24"/>
    </row>
    <row r="113" spans="1:13">
      <c r="A113" s="20" t="s">
        <v>192</v>
      </c>
      <c r="B113" s="20" t="s">
        <v>171</v>
      </c>
      <c r="C113" s="102" t="s">
        <v>26</v>
      </c>
      <c r="D113" s="21">
        <v>1</v>
      </c>
      <c r="E113" s="21">
        <v>3</v>
      </c>
      <c r="F113" s="82">
        <v>140</v>
      </c>
      <c r="G113" s="95">
        <v>1</v>
      </c>
      <c r="H113" s="95">
        <v>50</v>
      </c>
      <c r="I113" s="95" t="s">
        <v>35</v>
      </c>
      <c r="J113" s="87">
        <v>1</v>
      </c>
      <c r="K113" s="87">
        <v>3</v>
      </c>
      <c r="L113" s="24"/>
    </row>
    <row r="114" spans="1:13" ht="31.5">
      <c r="A114" s="20" t="s">
        <v>193</v>
      </c>
      <c r="B114" s="20" t="s">
        <v>171</v>
      </c>
      <c r="C114" s="102" t="s">
        <v>14</v>
      </c>
      <c r="D114" s="21">
        <v>2</v>
      </c>
      <c r="E114" s="21">
        <v>5</v>
      </c>
      <c r="F114" s="80">
        <f t="shared" ref="F114:F116" si="14">D114*$AC$2</f>
        <v>850</v>
      </c>
      <c r="G114" s="95">
        <v>1</v>
      </c>
      <c r="H114" s="95">
        <v>100</v>
      </c>
      <c r="I114" s="95" t="s">
        <v>41</v>
      </c>
      <c r="J114" s="87">
        <v>3.6</v>
      </c>
      <c r="K114" s="87">
        <v>8.9</v>
      </c>
      <c r="L114" s="24"/>
    </row>
    <row r="115" spans="1:13" ht="21">
      <c r="A115" s="20" t="s">
        <v>194</v>
      </c>
      <c r="B115" s="20" t="s">
        <v>171</v>
      </c>
      <c r="C115" s="102" t="s">
        <v>14</v>
      </c>
      <c r="D115" s="21">
        <v>8</v>
      </c>
      <c r="E115" s="21">
        <v>1</v>
      </c>
      <c r="F115" s="80">
        <f t="shared" si="14"/>
        <v>3400</v>
      </c>
      <c r="G115" s="95">
        <v>1</v>
      </c>
      <c r="H115" s="95">
        <v>100</v>
      </c>
      <c r="I115" s="95" t="s">
        <v>41</v>
      </c>
      <c r="J115" s="87">
        <v>3.6</v>
      </c>
      <c r="K115" s="87">
        <v>8.9</v>
      </c>
      <c r="L115" s="24"/>
    </row>
    <row r="116" spans="1:13">
      <c r="A116" s="20" t="s">
        <v>195</v>
      </c>
      <c r="B116" s="20" t="s">
        <v>171</v>
      </c>
      <c r="C116" s="102" t="s">
        <v>14</v>
      </c>
      <c r="D116" s="21">
        <v>8</v>
      </c>
      <c r="E116" s="21">
        <v>1</v>
      </c>
      <c r="F116" s="80">
        <f t="shared" si="14"/>
        <v>3400</v>
      </c>
      <c r="G116" s="95">
        <v>1</v>
      </c>
      <c r="H116" s="95">
        <v>100</v>
      </c>
      <c r="I116" s="95" t="s">
        <v>41</v>
      </c>
      <c r="J116" s="87">
        <v>3.6</v>
      </c>
      <c r="K116" s="87">
        <v>8.9</v>
      </c>
      <c r="L116" s="24"/>
    </row>
    <row r="117" spans="1:13" ht="42">
      <c r="A117" s="20" t="s">
        <v>196</v>
      </c>
      <c r="B117" s="20" t="s">
        <v>197</v>
      </c>
      <c r="C117" s="95" t="s">
        <v>16</v>
      </c>
      <c r="D117" s="21">
        <v>300</v>
      </c>
      <c r="E117" s="21">
        <v>4</v>
      </c>
      <c r="F117" s="80">
        <f>D117</f>
        <v>300</v>
      </c>
      <c r="G117" s="95">
        <v>0</v>
      </c>
      <c r="H117" s="95">
        <v>300</v>
      </c>
      <c r="I117" s="95" t="s">
        <v>48</v>
      </c>
      <c r="J117" s="82">
        <v>1</v>
      </c>
      <c r="K117" s="82">
        <v>3</v>
      </c>
      <c r="L117" s="23"/>
    </row>
    <row r="118" spans="1:13">
      <c r="A118" s="37" t="s">
        <v>234</v>
      </c>
      <c r="B118" s="20"/>
      <c r="C118" s="95"/>
      <c r="D118" s="21"/>
      <c r="E118" s="21"/>
      <c r="F118" s="80"/>
      <c r="G118" s="95"/>
      <c r="H118" s="95"/>
      <c r="I118" s="95"/>
      <c r="J118" s="82"/>
      <c r="K118" s="82"/>
      <c r="L118" s="23"/>
      <c r="M118" s="38" t="s">
        <v>235</v>
      </c>
    </row>
    <row r="119" spans="1:13" ht="21">
      <c r="A119" s="37" t="s">
        <v>198</v>
      </c>
      <c r="B119" s="44"/>
      <c r="C119" s="99"/>
      <c r="D119" s="44"/>
      <c r="E119" s="44"/>
      <c r="F119" s="85"/>
      <c r="G119" s="99"/>
      <c r="H119" s="99"/>
      <c r="I119" s="99"/>
      <c r="J119" s="85"/>
      <c r="K119" s="85"/>
      <c r="L119" s="44"/>
    </row>
    <row r="120" spans="1:13" s="43" customFormat="1">
      <c r="A120" s="37" t="s">
        <v>199</v>
      </c>
      <c r="B120" s="44"/>
      <c r="C120" s="99"/>
      <c r="D120" s="44"/>
      <c r="E120" s="44"/>
      <c r="F120" s="85"/>
      <c r="G120" s="99"/>
      <c r="H120" s="99"/>
      <c r="I120" s="99"/>
      <c r="J120" s="85"/>
      <c r="K120" s="85"/>
      <c r="L120" s="44"/>
    </row>
    <row r="121" spans="1:13" s="43" customFormat="1" ht="21">
      <c r="A121" s="20" t="s">
        <v>200</v>
      </c>
      <c r="B121" s="20" t="s">
        <v>197</v>
      </c>
      <c r="C121" s="102" t="s">
        <v>23</v>
      </c>
      <c r="D121" s="21">
        <v>500</v>
      </c>
      <c r="E121" s="21">
        <v>1</v>
      </c>
      <c r="F121" s="80">
        <f>D121</f>
        <v>500</v>
      </c>
      <c r="G121" s="95">
        <v>0</v>
      </c>
      <c r="H121" s="95">
        <v>500</v>
      </c>
      <c r="I121" s="95" t="s">
        <v>35</v>
      </c>
      <c r="J121" s="82">
        <v>1</v>
      </c>
      <c r="K121" s="82">
        <v>2</v>
      </c>
      <c r="L121" s="23"/>
    </row>
    <row r="122" spans="1:13" ht="31.5">
      <c r="A122" s="20" t="s">
        <v>201</v>
      </c>
      <c r="B122" s="20" t="s">
        <v>73</v>
      </c>
      <c r="C122" s="102" t="s">
        <v>14</v>
      </c>
      <c r="D122" s="21">
        <v>10</v>
      </c>
      <c r="E122" s="21">
        <v>1</v>
      </c>
      <c r="F122" s="80">
        <f t="shared" ref="F122:F123" si="15">D122*$AC$2</f>
        <v>4250</v>
      </c>
      <c r="G122" s="95">
        <v>0</v>
      </c>
      <c r="H122" s="95">
        <v>300</v>
      </c>
      <c r="I122" s="95" t="s">
        <v>41</v>
      </c>
      <c r="J122" s="87">
        <v>4</v>
      </c>
      <c r="K122" s="87">
        <v>9.8000000000000007</v>
      </c>
      <c r="L122" s="24"/>
    </row>
    <row r="123" spans="1:13" ht="21">
      <c r="A123" s="20" t="s">
        <v>202</v>
      </c>
      <c r="B123" s="20" t="s">
        <v>73</v>
      </c>
      <c r="C123" s="102" t="s">
        <v>14</v>
      </c>
      <c r="D123" s="21">
        <v>10</v>
      </c>
      <c r="E123" s="21">
        <v>1</v>
      </c>
      <c r="F123" s="80">
        <f t="shared" si="15"/>
        <v>4250</v>
      </c>
      <c r="G123" s="95">
        <v>0</v>
      </c>
      <c r="H123" s="95">
        <v>300</v>
      </c>
      <c r="I123" s="95" t="s">
        <v>41</v>
      </c>
      <c r="J123" s="87">
        <v>4</v>
      </c>
      <c r="K123" s="87">
        <v>9.8000000000000007</v>
      </c>
      <c r="L123" s="24"/>
    </row>
    <row r="124" spans="1:13" ht="21">
      <c r="A124" s="20" t="s">
        <v>203</v>
      </c>
      <c r="B124" s="20" t="s">
        <v>204</v>
      </c>
      <c r="C124" s="95" t="s">
        <v>16</v>
      </c>
      <c r="D124" s="21">
        <v>300</v>
      </c>
      <c r="E124" s="21">
        <v>3</v>
      </c>
      <c r="F124" s="80">
        <f>D124</f>
        <v>300</v>
      </c>
      <c r="G124" s="95">
        <v>0</v>
      </c>
      <c r="H124" s="95">
        <v>261</v>
      </c>
      <c r="I124" s="95" t="s">
        <v>48</v>
      </c>
      <c r="J124" s="82">
        <v>1</v>
      </c>
      <c r="K124" s="82">
        <v>3</v>
      </c>
      <c r="L124" s="23"/>
    </row>
    <row r="125" spans="1:13">
      <c r="A125" s="20" t="s">
        <v>205</v>
      </c>
      <c r="B125" s="20" t="s">
        <v>206</v>
      </c>
      <c r="C125" s="102" t="s">
        <v>17</v>
      </c>
      <c r="D125" s="21">
        <v>600</v>
      </c>
      <c r="E125" s="21">
        <v>1</v>
      </c>
      <c r="F125" s="80">
        <f>D125</f>
        <v>600</v>
      </c>
      <c r="G125" s="95">
        <v>0</v>
      </c>
      <c r="H125" s="95">
        <v>404.4</v>
      </c>
      <c r="I125" s="95" t="s">
        <v>48</v>
      </c>
      <c r="J125" s="82"/>
      <c r="K125" s="82">
        <v>4</v>
      </c>
      <c r="L125" s="23"/>
    </row>
    <row r="126" spans="1:13" s="32" customFormat="1" ht="31.5">
      <c r="A126" s="30" t="s">
        <v>252</v>
      </c>
      <c r="B126" s="30" t="s">
        <v>253</v>
      </c>
      <c r="C126" s="96" t="s">
        <v>17</v>
      </c>
      <c r="D126" s="30">
        <v>100</v>
      </c>
      <c r="E126" s="30">
        <v>1</v>
      </c>
      <c r="F126" s="81">
        <f>D126</f>
        <v>100</v>
      </c>
      <c r="G126" s="96">
        <v>0</v>
      </c>
      <c r="H126" s="96">
        <f>F126</f>
        <v>100</v>
      </c>
      <c r="I126" s="96" t="s">
        <v>48</v>
      </c>
      <c r="J126" s="81"/>
      <c r="K126" s="81">
        <v>4</v>
      </c>
      <c r="L126" s="30"/>
      <c r="M126" s="47" t="s">
        <v>254</v>
      </c>
    </row>
    <row r="127" spans="1:13" s="32" customFormat="1" ht="21">
      <c r="A127" s="37" t="s">
        <v>251</v>
      </c>
      <c r="B127" s="30"/>
      <c r="C127" s="96"/>
      <c r="D127" s="30"/>
      <c r="E127" s="30"/>
      <c r="F127" s="81"/>
      <c r="G127" s="96"/>
      <c r="H127" s="96"/>
      <c r="I127" s="96"/>
      <c r="J127" s="81"/>
      <c r="K127" s="81"/>
      <c r="L127" s="30"/>
      <c r="M127" s="47"/>
    </row>
    <row r="128" spans="1:13" s="35" customFormat="1" ht="21">
      <c r="A128" s="20" t="s">
        <v>255</v>
      </c>
      <c r="B128" s="20" t="s">
        <v>104</v>
      </c>
      <c r="C128" s="102" t="s">
        <v>14</v>
      </c>
      <c r="D128" s="21">
        <v>6.6</v>
      </c>
      <c r="E128" s="21">
        <v>1</v>
      </c>
      <c r="F128" s="80">
        <f t="shared" ref="F128:F133" si="16">D128*$AC$2</f>
        <v>2805</v>
      </c>
      <c r="G128" s="95">
        <v>1</v>
      </c>
      <c r="H128" s="95">
        <v>200</v>
      </c>
      <c r="I128" s="95" t="s">
        <v>41</v>
      </c>
      <c r="J128" s="87">
        <v>1</v>
      </c>
      <c r="K128" s="87">
        <v>4</v>
      </c>
      <c r="L128" s="24"/>
    </row>
    <row r="129" spans="1:13" s="32" customFormat="1">
      <c r="A129" s="30" t="s">
        <v>246</v>
      </c>
      <c r="B129" s="30" t="s">
        <v>256</v>
      </c>
      <c r="C129" s="96" t="s">
        <v>14</v>
      </c>
      <c r="D129" s="30">
        <v>10</v>
      </c>
      <c r="E129" s="30">
        <v>3</v>
      </c>
      <c r="F129" s="84">
        <f t="shared" si="16"/>
        <v>4250</v>
      </c>
      <c r="G129" s="96">
        <v>0</v>
      </c>
      <c r="H129" s="96">
        <v>200</v>
      </c>
      <c r="I129" s="96" t="s">
        <v>41</v>
      </c>
      <c r="J129" s="81"/>
      <c r="K129" s="81"/>
      <c r="L129" s="30"/>
      <c r="M129" s="47"/>
    </row>
    <row r="130" spans="1:13" ht="31.5">
      <c r="A130" s="20" t="s">
        <v>257</v>
      </c>
      <c r="B130" s="20" t="s">
        <v>258</v>
      </c>
      <c r="C130" s="102" t="s">
        <v>14</v>
      </c>
      <c r="D130" s="21">
        <v>20</v>
      </c>
      <c r="E130" s="21">
        <v>2</v>
      </c>
      <c r="F130" s="80">
        <f t="shared" si="16"/>
        <v>8500</v>
      </c>
      <c r="G130" s="95">
        <v>0</v>
      </c>
      <c r="H130" s="95">
        <v>300</v>
      </c>
      <c r="I130" s="95" t="s">
        <v>41</v>
      </c>
      <c r="J130" s="82">
        <v>13</v>
      </c>
      <c r="K130" s="82">
        <v>40</v>
      </c>
      <c r="L130" s="23"/>
    </row>
    <row r="131" spans="1:13" ht="21">
      <c r="A131" s="20" t="s">
        <v>259</v>
      </c>
      <c r="B131" s="20" t="s">
        <v>64</v>
      </c>
      <c r="C131" s="102" t="s">
        <v>14</v>
      </c>
      <c r="D131" s="21">
        <v>7.5</v>
      </c>
      <c r="E131" s="21">
        <v>5</v>
      </c>
      <c r="F131" s="80">
        <f t="shared" si="16"/>
        <v>3187.5</v>
      </c>
      <c r="G131" s="95">
        <v>0</v>
      </c>
      <c r="H131" s="95">
        <v>150</v>
      </c>
      <c r="I131" s="95" t="s">
        <v>41</v>
      </c>
      <c r="J131" s="87">
        <v>8.3000000000000007</v>
      </c>
      <c r="K131" s="82">
        <v>29</v>
      </c>
      <c r="L131" s="23"/>
    </row>
    <row r="132" spans="1:13">
      <c r="A132" s="20" t="s">
        <v>260</v>
      </c>
      <c r="B132" s="20" t="s">
        <v>261</v>
      </c>
      <c r="C132" s="102" t="s">
        <v>14</v>
      </c>
      <c r="D132" s="21"/>
      <c r="E132" s="21"/>
      <c r="F132" s="80">
        <f t="shared" si="16"/>
        <v>0</v>
      </c>
      <c r="G132" s="95"/>
      <c r="H132" s="95">
        <v>183</v>
      </c>
      <c r="I132" s="95" t="s">
        <v>41</v>
      </c>
      <c r="J132" s="82">
        <v>13</v>
      </c>
      <c r="K132" s="82">
        <v>46</v>
      </c>
      <c r="L132" s="23"/>
    </row>
    <row r="133" spans="1:13">
      <c r="A133" s="20" t="s">
        <v>262</v>
      </c>
      <c r="B133" s="20" t="s">
        <v>66</v>
      </c>
      <c r="C133" s="102" t="s">
        <v>14</v>
      </c>
      <c r="D133" s="21">
        <v>8.75</v>
      </c>
      <c r="E133" s="21">
        <v>5</v>
      </c>
      <c r="F133" s="80">
        <f t="shared" si="16"/>
        <v>3718.75</v>
      </c>
      <c r="G133" s="95">
        <v>0</v>
      </c>
      <c r="H133" s="95">
        <v>140</v>
      </c>
      <c r="I133" s="95" t="s">
        <v>41</v>
      </c>
      <c r="J133" s="87">
        <v>8.3000000000000007</v>
      </c>
      <c r="K133" s="82">
        <v>29</v>
      </c>
      <c r="L133" s="23"/>
    </row>
    <row r="134" spans="1:13" ht="21">
      <c r="A134" s="20" t="s">
        <v>263</v>
      </c>
      <c r="B134" s="20" t="s">
        <v>66</v>
      </c>
      <c r="C134" s="95" t="s">
        <v>16</v>
      </c>
      <c r="D134" s="21">
        <v>200</v>
      </c>
      <c r="E134" s="21">
        <v>3</v>
      </c>
      <c r="F134" s="80">
        <f>D134</f>
        <v>200</v>
      </c>
      <c r="G134" s="95">
        <v>0</v>
      </c>
      <c r="H134" s="95">
        <v>200</v>
      </c>
      <c r="I134" s="95" t="s">
        <v>48</v>
      </c>
      <c r="J134" s="82">
        <v>1</v>
      </c>
      <c r="K134" s="82">
        <v>3</v>
      </c>
      <c r="L134" s="23"/>
    </row>
    <row r="135" spans="1:13" ht="21">
      <c r="A135" s="20" t="s">
        <v>264</v>
      </c>
      <c r="B135" s="20" t="s">
        <v>95</v>
      </c>
      <c r="C135" s="102" t="s">
        <v>17</v>
      </c>
      <c r="D135" s="21">
        <v>500</v>
      </c>
      <c r="E135" s="21">
        <v>1</v>
      </c>
      <c r="F135" s="80">
        <f>D135</f>
        <v>500</v>
      </c>
      <c r="G135" s="95">
        <v>0</v>
      </c>
      <c r="H135" s="95">
        <v>500</v>
      </c>
      <c r="I135" s="95" t="s">
        <v>48</v>
      </c>
      <c r="J135" s="82"/>
      <c r="K135" s="82">
        <v>4</v>
      </c>
      <c r="L135" s="23"/>
    </row>
    <row r="136" spans="1:13" ht="21">
      <c r="A136" s="20" t="s">
        <v>265</v>
      </c>
      <c r="B136" s="20" t="s">
        <v>150</v>
      </c>
      <c r="C136" s="102" t="s">
        <v>14</v>
      </c>
      <c r="D136" s="21">
        <v>15</v>
      </c>
      <c r="E136" s="21">
        <v>5</v>
      </c>
      <c r="F136" s="80">
        <f>D136*$AC$2</f>
        <v>6375</v>
      </c>
      <c r="G136" s="95">
        <v>0</v>
      </c>
      <c r="H136" s="95">
        <v>240</v>
      </c>
      <c r="I136" s="95" t="s">
        <v>41</v>
      </c>
      <c r="J136" s="87">
        <v>13</v>
      </c>
      <c r="K136" s="82">
        <v>36</v>
      </c>
      <c r="L136" s="23"/>
    </row>
    <row r="137" spans="1:13">
      <c r="A137" s="20" t="s">
        <v>266</v>
      </c>
      <c r="B137" s="20" t="s">
        <v>150</v>
      </c>
      <c r="C137" s="102" t="s">
        <v>26</v>
      </c>
      <c r="D137" s="21">
        <v>30</v>
      </c>
      <c r="E137" s="21">
        <v>5</v>
      </c>
      <c r="F137" s="82">
        <v>4200</v>
      </c>
      <c r="G137" s="95">
        <v>0</v>
      </c>
      <c r="H137" s="95">
        <v>1200</v>
      </c>
      <c r="I137" s="95" t="s">
        <v>35</v>
      </c>
      <c r="J137" s="87">
        <v>4.8</v>
      </c>
      <c r="K137" s="82">
        <v>23</v>
      </c>
      <c r="L137" s="23"/>
    </row>
    <row r="138" spans="1:13">
      <c r="A138" s="37" t="s">
        <v>233</v>
      </c>
      <c r="B138" s="20"/>
      <c r="C138" s="102"/>
      <c r="D138" s="21"/>
      <c r="E138" s="21"/>
      <c r="F138" s="82"/>
      <c r="G138" s="95"/>
      <c r="H138" s="95"/>
      <c r="I138" s="95"/>
      <c r="J138" s="87"/>
      <c r="K138" s="82"/>
      <c r="L138" s="23"/>
      <c r="M138" s="38" t="s">
        <v>267</v>
      </c>
    </row>
    <row r="139" spans="1:13" ht="21">
      <c r="A139" s="20" t="s">
        <v>268</v>
      </c>
      <c r="B139" s="20" t="s">
        <v>79</v>
      </c>
      <c r="C139" s="102" t="s">
        <v>14</v>
      </c>
      <c r="D139" s="21">
        <v>7.5</v>
      </c>
      <c r="E139" s="21">
        <v>1</v>
      </c>
      <c r="F139" s="80">
        <f t="shared" ref="F139:F141" si="17">D139*$AC$2</f>
        <v>3187.5</v>
      </c>
      <c r="G139" s="95">
        <v>1</v>
      </c>
      <c r="H139" s="95">
        <v>100</v>
      </c>
      <c r="I139" s="95" t="s">
        <v>41</v>
      </c>
      <c r="J139" s="87">
        <v>4.2</v>
      </c>
      <c r="K139" s="82">
        <v>16</v>
      </c>
      <c r="L139" s="23"/>
    </row>
    <row r="140" spans="1:13" ht="21">
      <c r="A140" s="20" t="s">
        <v>269</v>
      </c>
      <c r="B140" s="20" t="s">
        <v>162</v>
      </c>
      <c r="C140" s="102" t="s">
        <v>14</v>
      </c>
      <c r="D140" s="21">
        <v>40</v>
      </c>
      <c r="E140" s="21">
        <v>1</v>
      </c>
      <c r="F140" s="80">
        <f t="shared" si="17"/>
        <v>17000</v>
      </c>
      <c r="G140" s="95">
        <v>0</v>
      </c>
      <c r="H140" s="95">
        <v>300</v>
      </c>
      <c r="I140" s="95" t="s">
        <v>41</v>
      </c>
      <c r="J140" s="82">
        <v>13</v>
      </c>
      <c r="K140" s="82">
        <v>40</v>
      </c>
      <c r="L140" s="23"/>
    </row>
    <row r="141" spans="1:13" ht="21">
      <c r="A141" s="20" t="s">
        <v>270</v>
      </c>
      <c r="B141" s="20" t="s">
        <v>162</v>
      </c>
      <c r="C141" s="102" t="s">
        <v>14</v>
      </c>
      <c r="D141" s="21">
        <v>40</v>
      </c>
      <c r="E141" s="21">
        <v>1</v>
      </c>
      <c r="F141" s="80">
        <f t="shared" si="17"/>
        <v>17000</v>
      </c>
      <c r="G141" s="95">
        <v>0</v>
      </c>
      <c r="H141" s="95">
        <v>450</v>
      </c>
      <c r="I141" s="95" t="s">
        <v>41</v>
      </c>
      <c r="J141" s="82">
        <v>13</v>
      </c>
      <c r="K141" s="82">
        <v>40</v>
      </c>
      <c r="L141" s="23"/>
    </row>
    <row r="142" spans="1:13" ht="21">
      <c r="A142" s="37" t="s">
        <v>232</v>
      </c>
      <c r="B142" s="20"/>
      <c r="C142" s="102"/>
      <c r="D142" s="21"/>
      <c r="E142" s="21"/>
      <c r="F142" s="80"/>
      <c r="G142" s="95"/>
      <c r="H142" s="95"/>
      <c r="I142" s="95"/>
      <c r="J142" s="82"/>
      <c r="K142" s="82"/>
      <c r="L142" s="23"/>
      <c r="M142" s="38" t="s">
        <v>271</v>
      </c>
    </row>
    <row r="143" spans="1:13" ht="21">
      <c r="A143" s="20" t="s">
        <v>272</v>
      </c>
      <c r="B143" s="20" t="s">
        <v>154</v>
      </c>
      <c r="C143" s="102" t="s">
        <v>26</v>
      </c>
      <c r="D143" s="21">
        <v>10</v>
      </c>
      <c r="E143" s="21">
        <v>10</v>
      </c>
      <c r="F143" s="82">
        <v>1400</v>
      </c>
      <c r="G143" s="95">
        <v>0</v>
      </c>
      <c r="H143" s="95">
        <v>500</v>
      </c>
      <c r="I143" s="95" t="s">
        <v>35</v>
      </c>
      <c r="J143" s="82">
        <v>20</v>
      </c>
      <c r="K143" s="82">
        <v>111</v>
      </c>
      <c r="L143" s="23"/>
    </row>
    <row r="144" spans="1:13" ht="21">
      <c r="A144" s="20" t="s">
        <v>273</v>
      </c>
      <c r="B144" s="20" t="s">
        <v>274</v>
      </c>
      <c r="C144" s="102" t="s">
        <v>17</v>
      </c>
      <c r="D144" s="21">
        <v>500</v>
      </c>
      <c r="E144" s="21">
        <v>1</v>
      </c>
      <c r="F144" s="80">
        <f>D144</f>
        <v>500</v>
      </c>
      <c r="G144" s="95">
        <v>0</v>
      </c>
      <c r="H144" s="95">
        <v>500</v>
      </c>
      <c r="I144" s="95" t="s">
        <v>48</v>
      </c>
      <c r="J144" s="82"/>
      <c r="K144" s="82">
        <v>4</v>
      </c>
      <c r="L144" s="23"/>
    </row>
    <row r="145" spans="1:13" ht="21">
      <c r="A145" s="20" t="s">
        <v>207</v>
      </c>
      <c r="B145" s="20" t="s">
        <v>274</v>
      </c>
      <c r="C145" s="102" t="s">
        <v>17</v>
      </c>
      <c r="D145" s="21">
        <v>600</v>
      </c>
      <c r="E145" s="21">
        <v>1</v>
      </c>
      <c r="F145" s="80">
        <f>D145</f>
        <v>600</v>
      </c>
      <c r="G145" s="95">
        <v>0</v>
      </c>
      <c r="H145" s="95">
        <v>600</v>
      </c>
      <c r="I145" s="95" t="s">
        <v>48</v>
      </c>
      <c r="J145" s="82"/>
      <c r="K145" s="82">
        <v>4</v>
      </c>
      <c r="L145" s="23"/>
    </row>
    <row r="146" spans="1:13" ht="21">
      <c r="A146" s="20" t="s">
        <v>275</v>
      </c>
      <c r="B146" s="20" t="s">
        <v>276</v>
      </c>
      <c r="C146" s="95" t="s">
        <v>16</v>
      </c>
      <c r="D146" s="21">
        <v>200</v>
      </c>
      <c r="E146" s="21">
        <v>3</v>
      </c>
      <c r="F146" s="80">
        <f>D146</f>
        <v>200</v>
      </c>
      <c r="G146" s="95">
        <v>0</v>
      </c>
      <c r="H146" s="95">
        <v>200</v>
      </c>
      <c r="I146" s="95" t="s">
        <v>48</v>
      </c>
      <c r="J146" s="82">
        <v>1</v>
      </c>
      <c r="K146" s="82">
        <v>3</v>
      </c>
      <c r="L146" s="23"/>
    </row>
    <row r="147" spans="1:13">
      <c r="A147" s="37" t="s">
        <v>277</v>
      </c>
      <c r="B147" s="20"/>
      <c r="C147" s="95"/>
      <c r="D147" s="21"/>
      <c r="E147" s="21"/>
      <c r="F147" s="80"/>
      <c r="G147" s="95"/>
      <c r="H147" s="95"/>
      <c r="I147" s="95"/>
      <c r="J147" s="82"/>
      <c r="K147" s="82"/>
      <c r="L147" s="23"/>
      <c r="M147" s="47" t="s">
        <v>278</v>
      </c>
    </row>
    <row r="148" spans="1:13">
      <c r="A148" s="37" t="s">
        <v>279</v>
      </c>
      <c r="B148" s="44"/>
      <c r="C148" s="99"/>
      <c r="D148" s="44"/>
      <c r="E148" s="44"/>
      <c r="F148" s="85"/>
      <c r="G148" s="99"/>
      <c r="H148" s="99"/>
      <c r="I148" s="99"/>
      <c r="J148" s="85"/>
      <c r="K148" s="85"/>
      <c r="L148" s="44"/>
    </row>
    <row r="149" spans="1:13">
      <c r="A149" s="37" t="s">
        <v>248</v>
      </c>
      <c r="B149" s="44"/>
      <c r="C149" s="99"/>
      <c r="D149" s="44"/>
      <c r="E149" s="44"/>
      <c r="F149" s="85"/>
      <c r="G149" s="99"/>
      <c r="H149" s="99"/>
      <c r="I149" s="99"/>
      <c r="J149" s="85"/>
      <c r="K149" s="85"/>
      <c r="L149" s="44"/>
    </row>
    <row r="150" spans="1:13" s="43" customFormat="1" ht="42">
      <c r="A150" s="20" t="s">
        <v>280</v>
      </c>
      <c r="B150" s="20" t="s">
        <v>281</v>
      </c>
      <c r="C150" s="102" t="s">
        <v>24</v>
      </c>
      <c r="D150" s="21">
        <v>50</v>
      </c>
      <c r="E150" s="21">
        <v>5</v>
      </c>
      <c r="F150" s="82">
        <v>7000</v>
      </c>
      <c r="G150" s="95">
        <v>0</v>
      </c>
      <c r="H150" s="95">
        <v>70</v>
      </c>
      <c r="I150" s="95" t="s">
        <v>49</v>
      </c>
      <c r="J150" s="82">
        <v>38</v>
      </c>
      <c r="K150" s="82">
        <v>150</v>
      </c>
      <c r="L150" s="23"/>
    </row>
    <row r="151" spans="1:13" ht="21">
      <c r="A151" s="20" t="s">
        <v>282</v>
      </c>
      <c r="B151" s="20" t="s">
        <v>283</v>
      </c>
      <c r="C151" s="95" t="s">
        <v>16</v>
      </c>
      <c r="D151" s="21">
        <v>250</v>
      </c>
      <c r="E151" s="21">
        <v>1</v>
      </c>
      <c r="F151" s="80">
        <f>D151</f>
        <v>250</v>
      </c>
      <c r="G151" s="95">
        <v>1</v>
      </c>
      <c r="H151" s="95">
        <v>250</v>
      </c>
      <c r="I151" s="95" t="s">
        <v>48</v>
      </c>
      <c r="J151" s="82">
        <v>1</v>
      </c>
      <c r="K151" s="82">
        <v>3</v>
      </c>
      <c r="L151" s="23"/>
    </row>
    <row r="152" spans="1:13" ht="21">
      <c r="A152" s="20" t="s">
        <v>284</v>
      </c>
      <c r="B152" s="20" t="s">
        <v>204</v>
      </c>
      <c r="C152" s="102" t="s">
        <v>14</v>
      </c>
      <c r="D152" s="21">
        <v>18</v>
      </c>
      <c r="E152" s="21">
        <v>3</v>
      </c>
      <c r="F152" s="80">
        <f t="shared" ref="F152:F159" si="18">D152*$AC$2</f>
        <v>7650</v>
      </c>
      <c r="G152" s="95">
        <v>0</v>
      </c>
      <c r="H152" s="95">
        <v>372</v>
      </c>
      <c r="I152" s="95" t="s">
        <v>41</v>
      </c>
      <c r="J152" s="82">
        <v>13</v>
      </c>
      <c r="K152" s="82">
        <v>46</v>
      </c>
      <c r="L152" s="23"/>
    </row>
    <row r="153" spans="1:13" s="32" customFormat="1">
      <c r="A153" s="39" t="s">
        <v>224</v>
      </c>
      <c r="B153" s="39" t="s">
        <v>256</v>
      </c>
      <c r="C153" s="103" t="s">
        <v>14</v>
      </c>
      <c r="D153" s="40">
        <f>(200)/(450/18)</f>
        <v>8</v>
      </c>
      <c r="E153" s="40">
        <v>5</v>
      </c>
      <c r="F153" s="84">
        <f>D153*$AC$2</f>
        <v>3400</v>
      </c>
      <c r="G153" s="98">
        <v>0</v>
      </c>
      <c r="H153" s="98">
        <v>200</v>
      </c>
      <c r="I153" s="98" t="s">
        <v>41</v>
      </c>
      <c r="J153" s="89"/>
      <c r="K153" s="89"/>
      <c r="L153" s="41"/>
      <c r="M153" s="38" t="s">
        <v>285</v>
      </c>
    </row>
    <row r="154" spans="1:13" s="32" customFormat="1">
      <c r="A154" s="30" t="s">
        <v>286</v>
      </c>
      <c r="B154" s="30" t="s">
        <v>256</v>
      </c>
      <c r="C154" s="96" t="s">
        <v>14</v>
      </c>
      <c r="D154" s="30">
        <v>15</v>
      </c>
      <c r="E154" s="30">
        <v>1</v>
      </c>
      <c r="F154" s="84">
        <f>D154*$AC$2</f>
        <v>6375</v>
      </c>
      <c r="G154" s="96">
        <v>0</v>
      </c>
      <c r="H154" s="96">
        <v>180</v>
      </c>
      <c r="I154" s="96" t="s">
        <v>41</v>
      </c>
      <c r="J154" s="81"/>
      <c r="K154" s="81"/>
      <c r="L154" s="30"/>
      <c r="M154" s="32" t="s">
        <v>287</v>
      </c>
    </row>
    <row r="155" spans="1:13" s="35" customFormat="1">
      <c r="A155" s="20" t="s">
        <v>288</v>
      </c>
      <c r="B155" s="20" t="s">
        <v>289</v>
      </c>
      <c r="C155" s="102" t="s">
        <v>14</v>
      </c>
      <c r="D155" s="21">
        <v>14.2</v>
      </c>
      <c r="E155" s="21">
        <v>4</v>
      </c>
      <c r="F155" s="80">
        <f t="shared" si="18"/>
        <v>6035</v>
      </c>
      <c r="G155" s="95">
        <v>0</v>
      </c>
      <c r="H155" s="95">
        <v>182.5</v>
      </c>
      <c r="I155" s="95" t="s">
        <v>41</v>
      </c>
      <c r="J155" s="82">
        <v>12</v>
      </c>
      <c r="K155" s="82">
        <v>38</v>
      </c>
      <c r="L155" s="23"/>
    </row>
    <row r="156" spans="1:13" s="35" customFormat="1">
      <c r="A156" s="37" t="s">
        <v>290</v>
      </c>
      <c r="B156" s="20"/>
      <c r="C156" s="102"/>
      <c r="D156" s="21"/>
      <c r="E156" s="21"/>
      <c r="F156" s="80"/>
      <c r="G156" s="95"/>
      <c r="H156" s="95"/>
      <c r="I156" s="95"/>
      <c r="J156" s="82"/>
      <c r="K156" s="82"/>
      <c r="L156" s="23"/>
    </row>
    <row r="157" spans="1:13" ht="31.5">
      <c r="A157" s="20" t="s">
        <v>208</v>
      </c>
      <c r="B157" s="20" t="s">
        <v>291</v>
      </c>
      <c r="C157" s="102" t="s">
        <v>14</v>
      </c>
      <c r="D157" s="21">
        <v>10</v>
      </c>
      <c r="E157" s="21">
        <v>3</v>
      </c>
      <c r="F157" s="80">
        <f t="shared" si="18"/>
        <v>4250</v>
      </c>
      <c r="G157" s="95">
        <v>0</v>
      </c>
      <c r="H157" s="95">
        <v>200</v>
      </c>
      <c r="I157" s="95" t="s">
        <v>41</v>
      </c>
      <c r="J157" s="82">
        <v>13</v>
      </c>
      <c r="K157" s="82">
        <v>59</v>
      </c>
      <c r="L157" s="23"/>
    </row>
    <row r="158" spans="1:13">
      <c r="A158" s="37" t="s">
        <v>243</v>
      </c>
      <c r="B158" s="20"/>
      <c r="C158" s="102"/>
      <c r="D158" s="21"/>
      <c r="E158" s="21"/>
      <c r="F158" s="80"/>
      <c r="G158" s="95"/>
      <c r="H158" s="95"/>
      <c r="I158" s="95"/>
      <c r="J158" s="82"/>
      <c r="K158" s="82"/>
      <c r="L158" s="23"/>
      <c r="M158" s="38" t="s">
        <v>292</v>
      </c>
    </row>
    <row r="159" spans="1:13" s="32" customFormat="1" ht="21">
      <c r="A159" s="30" t="s">
        <v>293</v>
      </c>
      <c r="B159" s="30" t="s">
        <v>79</v>
      </c>
      <c r="C159" s="96" t="s">
        <v>14</v>
      </c>
      <c r="D159" s="30">
        <v>2.5</v>
      </c>
      <c r="E159" s="30">
        <v>5</v>
      </c>
      <c r="F159" s="84">
        <f t="shared" si="18"/>
        <v>1062.5</v>
      </c>
      <c r="G159" s="96">
        <v>1</v>
      </c>
      <c r="H159" s="96">
        <v>100</v>
      </c>
      <c r="I159" s="96" t="s">
        <v>41</v>
      </c>
      <c r="J159" s="81"/>
      <c r="K159" s="81"/>
      <c r="L159" s="30"/>
      <c r="M159" s="47" t="s">
        <v>294</v>
      </c>
    </row>
    <row r="160" spans="1:13" s="32" customFormat="1">
      <c r="A160" s="30" t="s">
        <v>209</v>
      </c>
      <c r="B160" s="30" t="s">
        <v>256</v>
      </c>
      <c r="C160" s="96" t="s">
        <v>16</v>
      </c>
      <c r="D160" s="30">
        <v>3000</v>
      </c>
      <c r="E160" s="30">
        <v>3</v>
      </c>
      <c r="F160" s="81">
        <f>D160</f>
        <v>3000</v>
      </c>
      <c r="G160" s="96">
        <v>0</v>
      </c>
      <c r="H160" s="96">
        <f>F160</f>
        <v>3000</v>
      </c>
      <c r="I160" s="96" t="s">
        <v>48</v>
      </c>
      <c r="J160" s="81"/>
      <c r="K160" s="81">
        <v>4</v>
      </c>
      <c r="L160" s="30"/>
      <c r="M160" s="31" t="s">
        <v>295</v>
      </c>
    </row>
    <row r="161" spans="1:13" s="35" customFormat="1" ht="21">
      <c r="A161" s="37" t="s">
        <v>296</v>
      </c>
      <c r="B161" s="44"/>
      <c r="C161" s="99"/>
      <c r="D161" s="44"/>
      <c r="E161" s="44"/>
      <c r="F161" s="85"/>
      <c r="G161" s="99"/>
      <c r="H161" s="99"/>
      <c r="I161" s="99"/>
      <c r="J161" s="85"/>
      <c r="K161" s="85"/>
      <c r="L161" s="44"/>
    </row>
    <row r="162" spans="1:13" s="32" customFormat="1">
      <c r="A162" s="30" t="s">
        <v>238</v>
      </c>
      <c r="B162" s="30" t="s">
        <v>256</v>
      </c>
      <c r="C162" s="96" t="s">
        <v>16</v>
      </c>
      <c r="D162" s="30">
        <v>3000</v>
      </c>
      <c r="E162" s="30">
        <v>3</v>
      </c>
      <c r="F162" s="81">
        <v>3000</v>
      </c>
      <c r="G162" s="96">
        <v>0</v>
      </c>
      <c r="H162" s="96">
        <v>3000</v>
      </c>
      <c r="I162" s="96" t="s">
        <v>48</v>
      </c>
      <c r="J162" s="81"/>
      <c r="K162" s="81"/>
      <c r="L162" s="30"/>
      <c r="M162" s="31"/>
    </row>
    <row r="163" spans="1:13" s="32" customFormat="1">
      <c r="A163" s="37" t="s">
        <v>239</v>
      </c>
      <c r="B163" s="30"/>
      <c r="C163" s="96"/>
      <c r="D163" s="30"/>
      <c r="E163" s="30"/>
      <c r="F163" s="81"/>
      <c r="G163" s="96"/>
      <c r="H163" s="96"/>
      <c r="I163" s="96"/>
      <c r="J163" s="81"/>
      <c r="K163" s="81"/>
      <c r="L163" s="30"/>
      <c r="M163" s="38" t="s">
        <v>297</v>
      </c>
    </row>
    <row r="164" spans="1:13" s="43" customFormat="1">
      <c r="A164" s="20" t="s">
        <v>298</v>
      </c>
      <c r="B164" s="20" t="s">
        <v>73</v>
      </c>
      <c r="C164" s="102" t="s">
        <v>24</v>
      </c>
      <c r="D164" s="21">
        <v>12.5</v>
      </c>
      <c r="E164" s="21">
        <v>5</v>
      </c>
      <c r="F164" s="82">
        <v>1750</v>
      </c>
      <c r="G164" s="95">
        <v>0</v>
      </c>
      <c r="H164" s="95">
        <v>250</v>
      </c>
      <c r="I164" s="95" t="s">
        <v>41</v>
      </c>
      <c r="J164" s="82">
        <v>21</v>
      </c>
      <c r="K164" s="82">
        <v>85</v>
      </c>
      <c r="L164" s="23"/>
    </row>
    <row r="165" spans="1:13" ht="31.5">
      <c r="A165" s="20" t="s">
        <v>299</v>
      </c>
      <c r="B165" s="20" t="s">
        <v>104</v>
      </c>
      <c r="C165" s="102" t="s">
        <v>14</v>
      </c>
      <c r="D165" s="21">
        <v>1</v>
      </c>
      <c r="E165" s="21">
        <v>5</v>
      </c>
      <c r="F165" s="80">
        <f t="shared" ref="F165:F166" si="19">D165*$AC$2</f>
        <v>425</v>
      </c>
      <c r="G165" s="95">
        <v>1</v>
      </c>
      <c r="H165" s="95">
        <v>50</v>
      </c>
      <c r="I165" s="95" t="s">
        <v>41</v>
      </c>
      <c r="J165" s="87">
        <v>1</v>
      </c>
      <c r="K165" s="87">
        <v>4</v>
      </c>
      <c r="L165" s="24"/>
    </row>
    <row r="166" spans="1:13" ht="21">
      <c r="A166" s="20" t="s">
        <v>300</v>
      </c>
      <c r="B166" s="20" t="s">
        <v>162</v>
      </c>
      <c r="C166" s="102" t="s">
        <v>14</v>
      </c>
      <c r="D166" s="21">
        <v>40</v>
      </c>
      <c r="E166" s="21">
        <v>1</v>
      </c>
      <c r="F166" s="80">
        <f t="shared" si="19"/>
        <v>17000</v>
      </c>
      <c r="G166" s="95">
        <v>0</v>
      </c>
      <c r="H166" s="95">
        <v>300</v>
      </c>
      <c r="I166" s="95" t="s">
        <v>41</v>
      </c>
      <c r="J166" s="82">
        <v>13</v>
      </c>
      <c r="K166" s="82">
        <v>40</v>
      </c>
      <c r="L166" s="23"/>
    </row>
    <row r="167" spans="1:13">
      <c r="A167" s="37" t="s">
        <v>12</v>
      </c>
      <c r="B167" s="44"/>
      <c r="C167" s="99"/>
      <c r="D167" s="44"/>
      <c r="E167" s="44"/>
      <c r="F167" s="85"/>
      <c r="G167" s="99"/>
      <c r="H167" s="99"/>
      <c r="I167" s="99"/>
      <c r="J167" s="85"/>
      <c r="K167" s="85"/>
      <c r="L167" s="44"/>
    </row>
    <row r="168" spans="1:13" s="43" customFormat="1">
      <c r="A168" s="37" t="s">
        <v>301</v>
      </c>
      <c r="B168" s="44"/>
      <c r="C168" s="99"/>
      <c r="D168" s="44"/>
      <c r="E168" s="44"/>
      <c r="F168" s="85"/>
      <c r="G168" s="99"/>
      <c r="H168" s="99"/>
      <c r="I168" s="99"/>
      <c r="J168" s="85"/>
      <c r="K168" s="85"/>
      <c r="L168" s="44"/>
    </row>
    <row r="169" spans="1:13" s="43" customFormat="1" ht="21">
      <c r="A169" s="20" t="s">
        <v>302</v>
      </c>
      <c r="B169" s="20" t="s">
        <v>303</v>
      </c>
      <c r="C169" s="102" t="s">
        <v>14</v>
      </c>
      <c r="D169" s="21">
        <v>20</v>
      </c>
      <c r="E169" s="21">
        <v>2</v>
      </c>
      <c r="F169" s="80">
        <f>D169*$AC$2</f>
        <v>8500</v>
      </c>
      <c r="G169" s="95">
        <v>0</v>
      </c>
      <c r="H169" s="95">
        <v>300</v>
      </c>
      <c r="I169" s="95" t="s">
        <v>41</v>
      </c>
      <c r="J169" s="82">
        <v>13</v>
      </c>
      <c r="K169" s="82">
        <v>40</v>
      </c>
      <c r="L169" s="23"/>
    </row>
    <row r="170" spans="1:13">
      <c r="A170" s="37" t="s">
        <v>304</v>
      </c>
      <c r="B170" s="44"/>
      <c r="C170" s="99"/>
      <c r="D170" s="44"/>
      <c r="E170" s="44"/>
      <c r="F170" s="85"/>
      <c r="G170" s="99"/>
      <c r="H170" s="99"/>
      <c r="I170" s="99"/>
      <c r="J170" s="85"/>
      <c r="K170" s="85"/>
      <c r="L170" s="44"/>
    </row>
    <row r="171" spans="1:13" s="43" customFormat="1" ht="21">
      <c r="A171" s="20" t="s">
        <v>305</v>
      </c>
      <c r="B171" s="20" t="s">
        <v>162</v>
      </c>
      <c r="C171" s="102" t="s">
        <v>14</v>
      </c>
      <c r="D171" s="21">
        <v>40</v>
      </c>
      <c r="E171" s="21">
        <v>1</v>
      </c>
      <c r="F171" s="80">
        <f t="shared" ref="F171:F172" si="20">D171*$AC$2</f>
        <v>17000</v>
      </c>
      <c r="G171" s="95">
        <v>0</v>
      </c>
      <c r="H171" s="95">
        <v>300</v>
      </c>
      <c r="I171" s="95" t="s">
        <v>41</v>
      </c>
      <c r="J171" s="82">
        <v>13</v>
      </c>
      <c r="K171" s="82">
        <v>40</v>
      </c>
      <c r="L171" s="23"/>
    </row>
    <row r="172" spans="1:13">
      <c r="A172" s="20" t="s">
        <v>306</v>
      </c>
      <c r="B172" s="20" t="s">
        <v>307</v>
      </c>
      <c r="C172" s="102" t="s">
        <v>14</v>
      </c>
      <c r="D172" s="21">
        <v>30</v>
      </c>
      <c r="E172" s="21">
        <v>5</v>
      </c>
      <c r="F172" s="80">
        <f t="shared" si="20"/>
        <v>12750</v>
      </c>
      <c r="G172" s="95">
        <v>0</v>
      </c>
      <c r="H172" s="95">
        <v>100</v>
      </c>
      <c r="I172" s="95" t="s">
        <v>41</v>
      </c>
      <c r="J172" s="82">
        <v>28</v>
      </c>
      <c r="K172" s="82">
        <v>85</v>
      </c>
      <c r="L172" s="23"/>
    </row>
    <row r="173" spans="1:13">
      <c r="A173" s="20" t="s">
        <v>308</v>
      </c>
      <c r="B173" s="20" t="s">
        <v>152</v>
      </c>
      <c r="C173" s="102" t="s">
        <v>26</v>
      </c>
      <c r="D173" s="21">
        <v>30</v>
      </c>
      <c r="E173" s="21">
        <v>5</v>
      </c>
      <c r="F173" s="82">
        <v>4200</v>
      </c>
      <c r="G173" s="95">
        <v>0</v>
      </c>
      <c r="H173" s="95">
        <v>1200</v>
      </c>
      <c r="I173" s="95" t="s">
        <v>35</v>
      </c>
      <c r="J173" s="82">
        <v>24</v>
      </c>
      <c r="K173" s="82">
        <v>114</v>
      </c>
      <c r="L173" s="23"/>
    </row>
    <row r="174" spans="1:13" s="32" customFormat="1" ht="21">
      <c r="A174" s="30" t="s">
        <v>210</v>
      </c>
      <c r="B174" s="30" t="s">
        <v>309</v>
      </c>
      <c r="C174" s="96" t="s">
        <v>14</v>
      </c>
      <c r="D174" s="30">
        <v>12.5</v>
      </c>
      <c r="E174" s="30">
        <v>1</v>
      </c>
      <c r="F174" s="84">
        <f>D174*$AC$2</f>
        <v>5312.5</v>
      </c>
      <c r="G174" s="96">
        <v>0</v>
      </c>
      <c r="H174" s="96">
        <v>200</v>
      </c>
      <c r="I174" s="96" t="s">
        <v>41</v>
      </c>
      <c r="J174" s="81"/>
      <c r="K174" s="81"/>
      <c r="L174" s="30"/>
      <c r="M174" s="31" t="s">
        <v>310</v>
      </c>
    </row>
    <row r="175" spans="1:13" s="35" customFormat="1" ht="21">
      <c r="A175" s="20" t="s">
        <v>311</v>
      </c>
      <c r="B175" s="20" t="s">
        <v>70</v>
      </c>
      <c r="C175" s="102" t="s">
        <v>26</v>
      </c>
      <c r="D175" s="21">
        <v>12.5</v>
      </c>
      <c r="E175" s="21">
        <v>6</v>
      </c>
      <c r="F175" s="82">
        <v>1750</v>
      </c>
      <c r="G175" s="95">
        <v>0</v>
      </c>
      <c r="H175" s="95">
        <v>400</v>
      </c>
      <c r="I175" s="95" t="s">
        <v>35</v>
      </c>
      <c r="J175" s="82">
        <v>20</v>
      </c>
      <c r="K175" s="82">
        <v>81</v>
      </c>
      <c r="L175" s="23"/>
    </row>
    <row r="176" spans="1:13" ht="21">
      <c r="A176" s="20" t="s">
        <v>9</v>
      </c>
      <c r="B176" s="20" t="s">
        <v>70</v>
      </c>
      <c r="C176" s="95" t="s">
        <v>16</v>
      </c>
      <c r="D176" s="21">
        <v>200</v>
      </c>
      <c r="E176" s="21">
        <v>3</v>
      </c>
      <c r="F176" s="80">
        <f>D176</f>
        <v>200</v>
      </c>
      <c r="G176" s="95">
        <v>0</v>
      </c>
      <c r="H176" s="95">
        <v>200</v>
      </c>
      <c r="I176" s="95" t="s">
        <v>48</v>
      </c>
      <c r="J176" s="82">
        <v>1</v>
      </c>
      <c r="K176" s="82">
        <v>3</v>
      </c>
      <c r="L176" s="23"/>
    </row>
    <row r="177" spans="1:13" ht="21">
      <c r="A177" s="20" t="s">
        <v>312</v>
      </c>
      <c r="B177" s="20" t="s">
        <v>70</v>
      </c>
      <c r="C177" s="102" t="s">
        <v>14</v>
      </c>
      <c r="D177" s="21">
        <v>7</v>
      </c>
      <c r="E177" s="21">
        <v>5</v>
      </c>
      <c r="F177" s="80">
        <f t="shared" ref="F177:F178" si="21">D177*$AC$2</f>
        <v>2975</v>
      </c>
      <c r="G177" s="95">
        <v>0</v>
      </c>
      <c r="H177" s="95">
        <v>140</v>
      </c>
      <c r="I177" s="95" t="s">
        <v>41</v>
      </c>
      <c r="J177" s="87">
        <v>8.3000000000000007</v>
      </c>
      <c r="K177" s="82">
        <v>29</v>
      </c>
      <c r="L177" s="23"/>
    </row>
    <row r="178" spans="1:13" ht="21">
      <c r="A178" s="20" t="s">
        <v>211</v>
      </c>
      <c r="B178" s="20" t="s">
        <v>154</v>
      </c>
      <c r="C178" s="102" t="s">
        <v>14</v>
      </c>
      <c r="D178" s="21">
        <v>20</v>
      </c>
      <c r="E178" s="21">
        <v>1</v>
      </c>
      <c r="F178" s="80">
        <f t="shared" si="21"/>
        <v>8500</v>
      </c>
      <c r="G178" s="95">
        <v>0</v>
      </c>
      <c r="H178" s="95">
        <v>200</v>
      </c>
      <c r="I178" s="95" t="s">
        <v>41</v>
      </c>
      <c r="J178" s="87">
        <v>6.5</v>
      </c>
      <c r="K178" s="82">
        <v>23</v>
      </c>
      <c r="L178" s="23"/>
    </row>
    <row r="179" spans="1:13" s="32" customFormat="1">
      <c r="A179" s="39" t="s">
        <v>223</v>
      </c>
      <c r="B179" s="39" t="s">
        <v>313</v>
      </c>
      <c r="C179" s="103" t="s">
        <v>24</v>
      </c>
      <c r="D179" s="40">
        <v>2000</v>
      </c>
      <c r="E179" s="40">
        <v>2</v>
      </c>
      <c r="F179" s="84">
        <f>D179</f>
        <v>2000</v>
      </c>
      <c r="G179" s="98">
        <v>0</v>
      </c>
      <c r="H179" s="98">
        <v>2000</v>
      </c>
      <c r="I179" s="98" t="s">
        <v>35</v>
      </c>
      <c r="J179" s="88"/>
      <c r="K179" s="89"/>
      <c r="L179" s="41"/>
      <c r="M179" s="38" t="s">
        <v>314</v>
      </c>
    </row>
    <row r="180" spans="1:13" ht="21">
      <c r="A180" s="20" t="s">
        <v>315</v>
      </c>
      <c r="B180" s="20" t="s">
        <v>316</v>
      </c>
      <c r="C180" s="95" t="s">
        <v>16</v>
      </c>
      <c r="D180" s="21">
        <v>405</v>
      </c>
      <c r="E180" s="21">
        <v>2</v>
      </c>
      <c r="F180" s="80">
        <f>D180</f>
        <v>405</v>
      </c>
      <c r="G180" s="95">
        <v>0</v>
      </c>
      <c r="H180" s="95">
        <v>366</v>
      </c>
      <c r="I180" s="95" t="s">
        <v>48</v>
      </c>
      <c r="J180" s="82">
        <v>1</v>
      </c>
      <c r="K180" s="82">
        <v>3</v>
      </c>
      <c r="L180" s="23"/>
    </row>
    <row r="181" spans="1:13" s="32" customFormat="1">
      <c r="A181" s="39" t="s">
        <v>231</v>
      </c>
      <c r="B181" s="39" t="s">
        <v>313</v>
      </c>
      <c r="C181" s="98" t="s">
        <v>24</v>
      </c>
      <c r="D181" s="40">
        <v>2000</v>
      </c>
      <c r="E181" s="40">
        <v>3</v>
      </c>
      <c r="F181" s="84">
        <f>D181</f>
        <v>2000</v>
      </c>
      <c r="G181" s="98">
        <v>0</v>
      </c>
      <c r="H181" s="98">
        <v>1848.2</v>
      </c>
      <c r="I181" s="98" t="s">
        <v>35</v>
      </c>
      <c r="J181" s="89"/>
      <c r="K181" s="89"/>
      <c r="L181" s="41"/>
      <c r="M181" s="38" t="s">
        <v>317</v>
      </c>
    </row>
    <row r="182" spans="1:13">
      <c r="A182" s="20" t="s">
        <v>212</v>
      </c>
      <c r="B182" s="20" t="s">
        <v>52</v>
      </c>
      <c r="C182" s="102" t="s">
        <v>14</v>
      </c>
      <c r="D182" s="21">
        <v>20</v>
      </c>
      <c r="E182" s="21">
        <v>1</v>
      </c>
      <c r="F182" s="80">
        <f>D182*$AC$2</f>
        <v>8500</v>
      </c>
      <c r="G182" s="95">
        <v>0</v>
      </c>
      <c r="H182" s="95">
        <v>200</v>
      </c>
      <c r="I182" s="95" t="s">
        <v>41</v>
      </c>
      <c r="J182" s="87">
        <v>6.5</v>
      </c>
      <c r="K182" s="82">
        <v>23</v>
      </c>
      <c r="L182" s="23"/>
    </row>
    <row r="183" spans="1:13" ht="21">
      <c r="A183" s="20" t="s">
        <v>318</v>
      </c>
      <c r="B183" s="20" t="s">
        <v>73</v>
      </c>
      <c r="C183" s="102" t="s">
        <v>24</v>
      </c>
      <c r="D183" s="21">
        <v>12.5</v>
      </c>
      <c r="E183" s="21">
        <v>10</v>
      </c>
      <c r="F183" s="82">
        <v>1750</v>
      </c>
      <c r="G183" s="95">
        <v>0</v>
      </c>
      <c r="H183" s="95">
        <v>250</v>
      </c>
      <c r="I183" s="95" t="s">
        <v>41</v>
      </c>
      <c r="J183" s="82">
        <v>21</v>
      </c>
      <c r="K183" s="82">
        <v>85</v>
      </c>
      <c r="L183" s="23"/>
    </row>
    <row r="184" spans="1:13" ht="21">
      <c r="A184" s="20" t="s">
        <v>319</v>
      </c>
      <c r="B184" s="20" t="s">
        <v>152</v>
      </c>
      <c r="C184" s="102" t="s">
        <v>14</v>
      </c>
      <c r="D184" s="21">
        <v>15</v>
      </c>
      <c r="E184" s="21">
        <v>5</v>
      </c>
      <c r="F184" s="80">
        <f t="shared" ref="F184:F185" si="22">D184*$AC$2</f>
        <v>6375</v>
      </c>
      <c r="G184" s="95">
        <v>0</v>
      </c>
      <c r="H184" s="95">
        <v>480</v>
      </c>
      <c r="I184" s="95" t="s">
        <v>41</v>
      </c>
      <c r="J184" s="82">
        <v>13</v>
      </c>
      <c r="K184" s="82">
        <v>36</v>
      </c>
      <c r="L184" s="23"/>
    </row>
    <row r="185" spans="1:13" ht="21">
      <c r="A185" s="20" t="s">
        <v>320</v>
      </c>
      <c r="B185" s="20" t="s">
        <v>321</v>
      </c>
      <c r="C185" s="102" t="s">
        <v>14</v>
      </c>
      <c r="D185" s="21">
        <v>10</v>
      </c>
      <c r="E185" s="21">
        <v>3</v>
      </c>
      <c r="F185" s="80">
        <f t="shared" si="22"/>
        <v>4250</v>
      </c>
      <c r="G185" s="95">
        <v>0</v>
      </c>
      <c r="H185" s="95">
        <v>200</v>
      </c>
      <c r="I185" s="95" t="s">
        <v>41</v>
      </c>
      <c r="J185" s="82">
        <v>13</v>
      </c>
      <c r="K185" s="82">
        <v>59</v>
      </c>
      <c r="L185" s="23"/>
    </row>
    <row r="186" spans="1:13" ht="21">
      <c r="A186" s="20" t="s">
        <v>322</v>
      </c>
      <c r="B186" s="20" t="s">
        <v>323</v>
      </c>
      <c r="C186" s="102" t="s">
        <v>24</v>
      </c>
      <c r="D186" s="21">
        <v>1000</v>
      </c>
      <c r="E186" s="21">
        <v>28</v>
      </c>
      <c r="F186" s="82">
        <f>D186</f>
        <v>1000</v>
      </c>
      <c r="G186" s="95">
        <v>0</v>
      </c>
      <c r="H186" s="95">
        <v>1000</v>
      </c>
      <c r="I186" s="95" t="s">
        <v>49</v>
      </c>
      <c r="J186" s="82">
        <v>41</v>
      </c>
      <c r="K186" s="82">
        <v>414</v>
      </c>
      <c r="L186" s="23"/>
    </row>
    <row r="187" spans="1:13">
      <c r="A187" s="23" t="s">
        <v>324</v>
      </c>
      <c r="B187" s="20" t="s">
        <v>291</v>
      </c>
      <c r="C187" s="95" t="s">
        <v>22</v>
      </c>
      <c r="D187" s="23">
        <v>100000</v>
      </c>
      <c r="E187" s="23">
        <v>1</v>
      </c>
      <c r="F187" s="82">
        <f>D187</f>
        <v>100000</v>
      </c>
      <c r="G187" s="95">
        <v>0</v>
      </c>
      <c r="H187" s="95">
        <v>1000</v>
      </c>
      <c r="I187" s="95" t="s">
        <v>49</v>
      </c>
      <c r="J187" s="82">
        <f>H187</f>
        <v>1000</v>
      </c>
      <c r="K187" s="82">
        <f>H187</f>
        <v>1000</v>
      </c>
      <c r="L187" s="23"/>
    </row>
    <row r="188" spans="1:13">
      <c r="A188" s="20" t="s">
        <v>325</v>
      </c>
      <c r="B188" s="20" t="s">
        <v>173</v>
      </c>
      <c r="C188" s="102" t="s">
        <v>17</v>
      </c>
      <c r="D188" s="21">
        <v>500</v>
      </c>
      <c r="E188" s="21">
        <v>1</v>
      </c>
      <c r="F188" s="80">
        <f>D188</f>
        <v>500</v>
      </c>
      <c r="G188" s="95">
        <v>0</v>
      </c>
      <c r="H188" s="95">
        <v>346</v>
      </c>
      <c r="I188" s="95" t="s">
        <v>48</v>
      </c>
      <c r="J188" s="82"/>
      <c r="K188" s="82">
        <v>4</v>
      </c>
      <c r="L188" s="23"/>
    </row>
    <row r="189" spans="1:13" ht="21">
      <c r="A189" s="20" t="s">
        <v>326</v>
      </c>
      <c r="B189" s="20" t="s">
        <v>316</v>
      </c>
      <c r="C189" s="95" t="s">
        <v>16</v>
      </c>
      <c r="D189" s="22">
        <v>329.5</v>
      </c>
      <c r="E189" s="21">
        <v>3</v>
      </c>
      <c r="F189" s="80">
        <v>329.5</v>
      </c>
      <c r="G189" s="95">
        <v>0</v>
      </c>
      <c r="H189" s="100">
        <v>329.5</v>
      </c>
      <c r="I189" s="95" t="s">
        <v>48</v>
      </c>
      <c r="J189" s="82">
        <v>1</v>
      </c>
      <c r="K189" s="82">
        <v>3</v>
      </c>
      <c r="L189" s="23"/>
    </row>
    <row r="190" spans="1:13">
      <c r="A190" s="20" t="s">
        <v>213</v>
      </c>
      <c r="B190" s="20" t="s">
        <v>327</v>
      </c>
      <c r="C190" s="95" t="s">
        <v>16</v>
      </c>
      <c r="D190" s="21">
        <v>200</v>
      </c>
      <c r="E190" s="21">
        <v>2</v>
      </c>
      <c r="F190" s="80">
        <f>D190</f>
        <v>200</v>
      </c>
      <c r="G190" s="95">
        <v>0</v>
      </c>
      <c r="H190" s="95">
        <v>200</v>
      </c>
      <c r="I190" s="95" t="s">
        <v>48</v>
      </c>
      <c r="J190" s="82">
        <v>1</v>
      </c>
      <c r="K190" s="82">
        <v>3</v>
      </c>
      <c r="L190" s="23"/>
      <c r="M190" s="47" t="s">
        <v>328</v>
      </c>
    </row>
    <row r="191" spans="1:13" ht="21">
      <c r="A191" s="20" t="s">
        <v>329</v>
      </c>
      <c r="B191" s="20" t="s">
        <v>330</v>
      </c>
      <c r="C191" s="102" t="s">
        <v>14</v>
      </c>
      <c r="D191" s="21">
        <v>20</v>
      </c>
      <c r="E191" s="21">
        <v>1</v>
      </c>
      <c r="F191" s="80">
        <f>D191*$AC$2</f>
        <v>8500</v>
      </c>
      <c r="G191" s="95">
        <v>0</v>
      </c>
      <c r="H191" s="95">
        <v>183</v>
      </c>
      <c r="I191" s="95" t="s">
        <v>41</v>
      </c>
      <c r="J191" s="82">
        <v>13</v>
      </c>
      <c r="K191" s="82">
        <v>46</v>
      </c>
      <c r="L191" s="23"/>
    </row>
    <row r="192" spans="1:13" s="35" customFormat="1">
      <c r="A192" s="37" t="s">
        <v>214</v>
      </c>
      <c r="B192" s="44"/>
      <c r="C192" s="99"/>
      <c r="D192" s="44"/>
      <c r="E192" s="44"/>
      <c r="F192" s="85"/>
      <c r="G192" s="99"/>
      <c r="H192" s="99"/>
      <c r="I192" s="99"/>
      <c r="J192" s="85"/>
      <c r="K192" s="85"/>
      <c r="L192" s="44"/>
    </row>
    <row r="193" spans="1:13" s="32" customFormat="1">
      <c r="A193" s="30" t="s">
        <v>331</v>
      </c>
      <c r="B193" s="30" t="s">
        <v>332</v>
      </c>
      <c r="C193" s="96" t="s">
        <v>14</v>
      </c>
      <c r="D193" s="30">
        <v>4</v>
      </c>
      <c r="E193" s="30">
        <v>3</v>
      </c>
      <c r="F193" s="84">
        <f t="shared" ref="F193:F197" si="23">D193*$AC$2</f>
        <v>1700</v>
      </c>
      <c r="G193" s="96">
        <v>0</v>
      </c>
      <c r="H193" s="96">
        <v>50</v>
      </c>
      <c r="I193" s="96" t="s">
        <v>41</v>
      </c>
      <c r="J193" s="81"/>
      <c r="K193" s="81"/>
      <c r="L193" s="30"/>
      <c r="M193" s="31" t="s">
        <v>333</v>
      </c>
    </row>
    <row r="194" spans="1:13" s="32" customFormat="1" ht="21">
      <c r="A194" s="37" t="s">
        <v>225</v>
      </c>
      <c r="B194" s="30"/>
      <c r="C194" s="96"/>
      <c r="D194" s="30"/>
      <c r="E194" s="30"/>
      <c r="F194" s="84"/>
      <c r="G194" s="96"/>
      <c r="H194" s="96"/>
      <c r="I194" s="96"/>
      <c r="J194" s="81"/>
      <c r="K194" s="81"/>
      <c r="L194" s="30"/>
      <c r="M194" s="38" t="s">
        <v>334</v>
      </c>
    </row>
    <row r="195" spans="1:13" s="43" customFormat="1" ht="31.5">
      <c r="A195" s="20" t="s">
        <v>215</v>
      </c>
      <c r="B195" s="20" t="s">
        <v>70</v>
      </c>
      <c r="C195" s="102" t="s">
        <v>14</v>
      </c>
      <c r="D195" s="21">
        <v>15</v>
      </c>
      <c r="E195" s="21">
        <v>2</v>
      </c>
      <c r="F195" s="80">
        <f t="shared" si="23"/>
        <v>6375</v>
      </c>
      <c r="G195" s="95">
        <v>0</v>
      </c>
      <c r="H195" s="95">
        <v>150</v>
      </c>
      <c r="I195" s="95" t="s">
        <v>41</v>
      </c>
      <c r="J195" s="87">
        <v>8.3000000000000007</v>
      </c>
      <c r="K195" s="82">
        <v>29</v>
      </c>
      <c r="L195" s="23"/>
    </row>
    <row r="196" spans="1:13" s="32" customFormat="1" ht="21">
      <c r="A196" s="39" t="s">
        <v>335</v>
      </c>
      <c r="B196" s="39" t="s">
        <v>336</v>
      </c>
      <c r="C196" s="103" t="s">
        <v>14</v>
      </c>
      <c r="D196" s="40">
        <v>20</v>
      </c>
      <c r="E196" s="40">
        <v>3</v>
      </c>
      <c r="F196" s="84">
        <f>D196*$AC$2</f>
        <v>8500</v>
      </c>
      <c r="G196" s="98">
        <v>0</v>
      </c>
      <c r="H196" s="98">
        <v>300</v>
      </c>
      <c r="I196" s="98" t="s">
        <v>41</v>
      </c>
      <c r="J196" s="88"/>
      <c r="K196" s="89"/>
      <c r="L196" s="41"/>
      <c r="M196" s="31" t="s">
        <v>337</v>
      </c>
    </row>
    <row r="197" spans="1:13" s="32" customFormat="1">
      <c r="A197" s="30" t="s">
        <v>338</v>
      </c>
      <c r="B197" s="30" t="s">
        <v>66</v>
      </c>
      <c r="C197" s="96" t="s">
        <v>14</v>
      </c>
      <c r="D197" s="30">
        <v>10</v>
      </c>
      <c r="E197" s="30">
        <v>3</v>
      </c>
      <c r="F197" s="84">
        <f t="shared" si="23"/>
        <v>4250</v>
      </c>
      <c r="G197" s="96">
        <v>0</v>
      </c>
      <c r="H197" s="96">
        <v>200</v>
      </c>
      <c r="I197" s="96" t="s">
        <v>41</v>
      </c>
      <c r="J197" s="81"/>
      <c r="K197" s="81"/>
      <c r="L197" s="30"/>
      <c r="M197" s="31" t="s">
        <v>339</v>
      </c>
    </row>
    <row r="198" spans="1:13" s="32" customFormat="1" ht="21">
      <c r="A198" s="37" t="s">
        <v>242</v>
      </c>
      <c r="B198" s="30"/>
      <c r="C198" s="96"/>
      <c r="D198" s="30"/>
      <c r="E198" s="30"/>
      <c r="F198" s="84"/>
      <c r="G198" s="96"/>
      <c r="H198" s="96"/>
      <c r="I198" s="96"/>
      <c r="J198" s="81"/>
      <c r="K198" s="81"/>
      <c r="L198" s="30"/>
      <c r="M198" s="31"/>
    </row>
    <row r="199" spans="1:13" s="32" customFormat="1" ht="21">
      <c r="A199" s="37" t="s">
        <v>249</v>
      </c>
      <c r="B199" s="30"/>
      <c r="C199" s="96"/>
      <c r="D199" s="30"/>
      <c r="E199" s="30"/>
      <c r="F199" s="84"/>
      <c r="G199" s="96"/>
      <c r="H199" s="96"/>
      <c r="I199" s="96"/>
      <c r="J199" s="81"/>
      <c r="K199" s="81"/>
      <c r="L199" s="30"/>
      <c r="M199" s="31"/>
    </row>
    <row r="200" spans="1:13" s="35" customFormat="1">
      <c r="A200" s="37" t="s">
        <v>340</v>
      </c>
      <c r="B200" s="44"/>
      <c r="C200" s="99"/>
      <c r="D200" s="44"/>
      <c r="E200" s="44"/>
      <c r="F200" s="85"/>
      <c r="G200" s="99"/>
      <c r="H200" s="99"/>
      <c r="I200" s="99"/>
      <c r="J200" s="85"/>
      <c r="K200" s="85"/>
      <c r="L200" s="44"/>
    </row>
    <row r="201" spans="1:13" s="43" customFormat="1">
      <c r="A201" s="37" t="s">
        <v>341</v>
      </c>
      <c r="B201" s="44"/>
      <c r="C201" s="99"/>
      <c r="D201" s="44"/>
      <c r="E201" s="44"/>
      <c r="F201" s="85"/>
      <c r="G201" s="99"/>
      <c r="H201" s="99"/>
      <c r="I201" s="99"/>
      <c r="J201" s="85"/>
      <c r="K201" s="85"/>
      <c r="L201" s="44"/>
    </row>
    <row r="202" spans="1:13" ht="21">
      <c r="A202" s="20" t="s">
        <v>342</v>
      </c>
      <c r="B202" s="20" t="s">
        <v>343</v>
      </c>
      <c r="C202" s="102" t="s">
        <v>14</v>
      </c>
      <c r="D202" s="21">
        <v>6</v>
      </c>
      <c r="E202" s="21">
        <v>1</v>
      </c>
      <c r="F202" s="80">
        <f t="shared" ref="F202:F203" si="24">D202*$AC$2</f>
        <v>2550</v>
      </c>
      <c r="G202" s="95">
        <v>0</v>
      </c>
      <c r="H202" s="95">
        <v>150</v>
      </c>
      <c r="I202" s="95" t="s">
        <v>41</v>
      </c>
      <c r="J202" s="82">
        <v>6</v>
      </c>
      <c r="K202" s="82">
        <v>6</v>
      </c>
      <c r="L202" s="23"/>
    </row>
    <row r="203" spans="1:13" ht="21">
      <c r="A203" s="20" t="s">
        <v>344</v>
      </c>
      <c r="B203" s="20" t="s">
        <v>162</v>
      </c>
      <c r="C203" s="102" t="s">
        <v>14</v>
      </c>
      <c r="D203" s="21">
        <v>40</v>
      </c>
      <c r="E203" s="21">
        <v>1</v>
      </c>
      <c r="F203" s="80">
        <f t="shared" si="24"/>
        <v>17000</v>
      </c>
      <c r="G203" s="95">
        <v>0</v>
      </c>
      <c r="H203" s="95">
        <v>400</v>
      </c>
      <c r="I203" s="95" t="s">
        <v>41</v>
      </c>
      <c r="J203" s="82">
        <v>13</v>
      </c>
      <c r="K203" s="82">
        <v>40</v>
      </c>
      <c r="L203" s="23"/>
    </row>
    <row r="204" spans="1:13" ht="21">
      <c r="A204" s="20" t="s">
        <v>345</v>
      </c>
      <c r="B204" s="20" t="s">
        <v>346</v>
      </c>
      <c r="C204" s="102" t="s">
        <v>14</v>
      </c>
      <c r="D204" s="21">
        <v>4</v>
      </c>
      <c r="E204" s="21">
        <v>1</v>
      </c>
      <c r="F204" s="80">
        <f>D204*$AC$2</f>
        <v>1700</v>
      </c>
      <c r="G204" s="95">
        <v>0</v>
      </c>
      <c r="H204" s="95">
        <v>180</v>
      </c>
      <c r="I204" s="95" t="s">
        <v>41</v>
      </c>
      <c r="J204" s="82">
        <v>4</v>
      </c>
      <c r="K204" s="82">
        <v>4</v>
      </c>
      <c r="L204" s="23"/>
    </row>
    <row r="205" spans="1:13">
      <c r="A205" s="36" t="s">
        <v>415</v>
      </c>
      <c r="C205" s="102" t="s">
        <v>479</v>
      </c>
      <c r="G205" s="97">
        <v>0</v>
      </c>
      <c r="H205" s="97">
        <v>275</v>
      </c>
      <c r="I205" s="97" t="s">
        <v>48</v>
      </c>
      <c r="L205" s="36" t="s">
        <v>485</v>
      </c>
      <c r="M205" s="25">
        <v>1</v>
      </c>
    </row>
    <row r="206" spans="1:13">
      <c r="A206" s="36" t="s">
        <v>416</v>
      </c>
      <c r="C206" s="104" t="s">
        <v>481</v>
      </c>
      <c r="G206" s="97">
        <v>0</v>
      </c>
      <c r="H206" s="97">
        <v>1122</v>
      </c>
      <c r="I206" s="101" t="s">
        <v>35</v>
      </c>
      <c r="L206" s="36" t="s">
        <v>485</v>
      </c>
      <c r="M206" s="25">
        <v>1</v>
      </c>
    </row>
    <row r="207" spans="1:13">
      <c r="A207" s="36" t="s">
        <v>417</v>
      </c>
      <c r="C207" s="102" t="s">
        <v>478</v>
      </c>
      <c r="G207" s="97">
        <v>1</v>
      </c>
      <c r="H207" s="97">
        <v>120</v>
      </c>
      <c r="I207" s="97" t="s">
        <v>41</v>
      </c>
      <c r="L207" s="36" t="s">
        <v>484</v>
      </c>
      <c r="M207" s="25">
        <v>2</v>
      </c>
    </row>
    <row r="208" spans="1:13">
      <c r="A208" s="36" t="s">
        <v>418</v>
      </c>
      <c r="C208" s="102" t="s">
        <v>478</v>
      </c>
      <c r="G208" s="97">
        <v>0</v>
      </c>
      <c r="H208" s="97">
        <v>50</v>
      </c>
      <c r="I208" s="97" t="s">
        <v>41</v>
      </c>
      <c r="L208" s="36" t="s">
        <v>507</v>
      </c>
      <c r="M208" s="25">
        <v>2</v>
      </c>
    </row>
    <row r="209" spans="1:13">
      <c r="A209" s="36" t="s">
        <v>419</v>
      </c>
      <c r="C209" s="102" t="s">
        <v>478</v>
      </c>
      <c r="G209" s="97">
        <v>0</v>
      </c>
      <c r="H209" s="97">
        <v>400</v>
      </c>
      <c r="I209" s="97" t="s">
        <v>41</v>
      </c>
      <c r="L209" s="36" t="s">
        <v>507</v>
      </c>
      <c r="M209" s="25">
        <v>2</v>
      </c>
    </row>
    <row r="210" spans="1:13">
      <c r="A210" s="36" t="s">
        <v>420</v>
      </c>
      <c r="C210" s="102" t="s">
        <v>479</v>
      </c>
      <c r="G210" s="97">
        <v>0</v>
      </c>
      <c r="H210" s="97">
        <v>1000</v>
      </c>
      <c r="I210" s="97" t="s">
        <v>48</v>
      </c>
      <c r="L210" s="36" t="s">
        <v>485</v>
      </c>
      <c r="M210" s="25">
        <v>1</v>
      </c>
    </row>
    <row r="211" spans="1:13">
      <c r="A211" s="36" t="s">
        <v>421</v>
      </c>
      <c r="C211" s="102" t="s">
        <v>479</v>
      </c>
      <c r="G211" s="97">
        <v>1</v>
      </c>
      <c r="H211" s="97">
        <v>75</v>
      </c>
      <c r="I211" s="97" t="s">
        <v>48</v>
      </c>
      <c r="L211" s="36" t="s">
        <v>484</v>
      </c>
      <c r="M211" s="25">
        <v>1</v>
      </c>
    </row>
    <row r="212" spans="1:13">
      <c r="A212" s="36" t="s">
        <v>422</v>
      </c>
      <c r="C212" s="102" t="s">
        <v>478</v>
      </c>
      <c r="G212" s="97">
        <v>0</v>
      </c>
      <c r="H212" s="97">
        <v>100</v>
      </c>
      <c r="I212" s="97" t="s">
        <v>48</v>
      </c>
      <c r="L212" s="36" t="s">
        <v>509</v>
      </c>
      <c r="M212" s="25">
        <v>2</v>
      </c>
    </row>
    <row r="213" spans="1:13">
      <c r="A213" s="36" t="s">
        <v>423</v>
      </c>
      <c r="C213" s="102" t="s">
        <v>478</v>
      </c>
      <c r="G213" s="97">
        <v>1</v>
      </c>
      <c r="H213" s="97">
        <v>50</v>
      </c>
      <c r="I213" s="97" t="s">
        <v>41</v>
      </c>
      <c r="L213" s="36" t="s">
        <v>484</v>
      </c>
      <c r="M213" s="25">
        <v>2</v>
      </c>
    </row>
    <row r="214" spans="1:13">
      <c r="A214" s="36" t="s">
        <v>424</v>
      </c>
      <c r="C214" s="102" t="s">
        <v>479</v>
      </c>
      <c r="G214" s="97">
        <v>0</v>
      </c>
      <c r="H214" s="97">
        <v>330</v>
      </c>
      <c r="I214" s="97" t="s">
        <v>48</v>
      </c>
      <c r="L214" s="36" t="s">
        <v>507</v>
      </c>
      <c r="M214" s="25">
        <v>1</v>
      </c>
    </row>
    <row r="215" spans="1:13">
      <c r="A215" s="36" t="s">
        <v>425</v>
      </c>
      <c r="C215" s="102" t="s">
        <v>479</v>
      </c>
      <c r="G215" s="97">
        <v>0</v>
      </c>
      <c r="H215" s="97">
        <v>250</v>
      </c>
      <c r="I215" s="97" t="s">
        <v>48</v>
      </c>
      <c r="L215" s="36" t="s">
        <v>507</v>
      </c>
      <c r="M215" s="25">
        <v>1</v>
      </c>
    </row>
    <row r="216" spans="1:13">
      <c r="A216" s="36" t="s">
        <v>426</v>
      </c>
      <c r="C216" s="102" t="s">
        <v>479</v>
      </c>
      <c r="G216" s="97">
        <v>0</v>
      </c>
      <c r="H216" s="97">
        <v>275</v>
      </c>
      <c r="I216" s="97" t="s">
        <v>48</v>
      </c>
      <c r="L216" s="36" t="s">
        <v>485</v>
      </c>
      <c r="M216" s="25">
        <v>1</v>
      </c>
    </row>
    <row r="217" spans="1:13">
      <c r="A217" s="36" t="s">
        <v>427</v>
      </c>
      <c r="C217" s="102" t="s">
        <v>479</v>
      </c>
      <c r="G217" s="97">
        <v>0</v>
      </c>
      <c r="H217" s="97">
        <v>490</v>
      </c>
      <c r="I217" s="97" t="s">
        <v>48</v>
      </c>
      <c r="L217" s="36" t="s">
        <v>507</v>
      </c>
      <c r="M217" s="25">
        <v>1</v>
      </c>
    </row>
    <row r="218" spans="1:13">
      <c r="A218" s="36" t="s">
        <v>428</v>
      </c>
      <c r="C218" s="102" t="s">
        <v>479</v>
      </c>
      <c r="G218" s="97">
        <v>0</v>
      </c>
      <c r="H218" s="97">
        <v>300</v>
      </c>
      <c r="I218" s="97" t="s">
        <v>48</v>
      </c>
      <c r="L218" s="36" t="s">
        <v>485</v>
      </c>
      <c r="M218" s="25">
        <v>1</v>
      </c>
    </row>
    <row r="219" spans="1:13">
      <c r="A219" s="36" t="s">
        <v>429</v>
      </c>
      <c r="C219" s="102" t="s">
        <v>479</v>
      </c>
      <c r="G219" s="97">
        <v>0</v>
      </c>
      <c r="H219" s="97">
        <v>500</v>
      </c>
      <c r="I219" s="97" t="s">
        <v>48</v>
      </c>
      <c r="L219" s="36" t="s">
        <v>507</v>
      </c>
      <c r="M219" s="25">
        <v>1</v>
      </c>
    </row>
    <row r="220" spans="1:13">
      <c r="A220" s="36" t="s">
        <v>430</v>
      </c>
      <c r="C220" s="102" t="s">
        <v>479</v>
      </c>
      <c r="G220" s="97">
        <v>0</v>
      </c>
      <c r="H220" s="97">
        <v>300</v>
      </c>
      <c r="I220" s="97" t="s">
        <v>48</v>
      </c>
      <c r="L220" s="36" t="s">
        <v>485</v>
      </c>
      <c r="M220" s="25">
        <v>1</v>
      </c>
    </row>
    <row r="221" spans="1:13">
      <c r="A221" s="36" t="s">
        <v>431</v>
      </c>
      <c r="C221" s="102" t="s">
        <v>478</v>
      </c>
      <c r="G221" s="97">
        <v>0</v>
      </c>
      <c r="H221" s="97">
        <v>300</v>
      </c>
      <c r="I221" s="97" t="s">
        <v>41</v>
      </c>
      <c r="L221" s="36" t="s">
        <v>507</v>
      </c>
      <c r="M221" s="25">
        <v>2</v>
      </c>
    </row>
    <row r="222" spans="1:13">
      <c r="A222" s="36" t="s">
        <v>432</v>
      </c>
      <c r="C222" s="104" t="s">
        <v>482</v>
      </c>
      <c r="G222" s="97">
        <v>0</v>
      </c>
      <c r="H222" s="97">
        <v>70</v>
      </c>
      <c r="I222" s="101" t="s">
        <v>49</v>
      </c>
      <c r="L222" s="36" t="s">
        <v>507</v>
      </c>
      <c r="M222" s="25">
        <v>3</v>
      </c>
    </row>
    <row r="223" spans="1:13" s="111" customFormat="1">
      <c r="A223" s="108" t="s">
        <v>433</v>
      </c>
      <c r="B223" s="108"/>
      <c r="C223" s="109" t="s">
        <v>478</v>
      </c>
      <c r="D223" s="108"/>
      <c r="E223" s="108"/>
      <c r="F223" s="108"/>
      <c r="G223" s="110">
        <v>0</v>
      </c>
      <c r="H223" s="110">
        <v>100</v>
      </c>
      <c r="I223" s="110" t="s">
        <v>41</v>
      </c>
      <c r="J223" s="108"/>
      <c r="K223" s="108"/>
      <c r="L223" s="108" t="s">
        <v>485</v>
      </c>
      <c r="M223" s="111">
        <v>2</v>
      </c>
    </row>
    <row r="224" spans="1:13">
      <c r="A224" s="94" t="s">
        <v>434</v>
      </c>
      <c r="C224" s="102" t="s">
        <v>478</v>
      </c>
      <c r="G224" s="97">
        <v>0</v>
      </c>
      <c r="H224" s="97">
        <v>200</v>
      </c>
      <c r="I224" s="110" t="s">
        <v>41</v>
      </c>
      <c r="L224" s="36" t="s">
        <v>485</v>
      </c>
      <c r="M224" s="25">
        <v>2</v>
      </c>
    </row>
    <row r="225" spans="1:13">
      <c r="A225" s="36" t="s">
        <v>435</v>
      </c>
      <c r="C225" s="102" t="s">
        <v>478</v>
      </c>
      <c r="G225" s="97">
        <v>0</v>
      </c>
      <c r="H225" s="97">
        <v>300</v>
      </c>
      <c r="I225" s="97" t="s">
        <v>41</v>
      </c>
      <c r="L225" s="36" t="s">
        <v>485</v>
      </c>
      <c r="M225" s="25">
        <v>2</v>
      </c>
    </row>
    <row r="226" spans="1:13">
      <c r="A226" s="36" t="s">
        <v>436</v>
      </c>
      <c r="C226" s="102" t="s">
        <v>478</v>
      </c>
      <c r="G226" s="97">
        <v>0</v>
      </c>
      <c r="H226" s="97">
        <v>450</v>
      </c>
      <c r="I226" s="97" t="s">
        <v>41</v>
      </c>
      <c r="L226" s="36" t="s">
        <v>507</v>
      </c>
      <c r="M226" s="25">
        <v>2</v>
      </c>
    </row>
    <row r="227" spans="1:13">
      <c r="A227" s="94" t="s">
        <v>437</v>
      </c>
      <c r="C227" s="102" t="s">
        <v>478</v>
      </c>
      <c r="G227" s="97">
        <v>0</v>
      </c>
      <c r="H227" s="97">
        <v>300</v>
      </c>
      <c r="I227" s="97" t="s">
        <v>41</v>
      </c>
      <c r="L227" s="36" t="s">
        <v>485</v>
      </c>
      <c r="M227" s="25">
        <v>2</v>
      </c>
    </row>
    <row r="228" spans="1:13">
      <c r="A228" s="36" t="s">
        <v>438</v>
      </c>
      <c r="C228" s="102" t="s">
        <v>478</v>
      </c>
      <c r="G228" s="97">
        <v>1</v>
      </c>
      <c r="H228" s="97">
        <v>120</v>
      </c>
      <c r="I228" s="97" t="s">
        <v>41</v>
      </c>
      <c r="L228" s="36" t="s">
        <v>484</v>
      </c>
      <c r="M228" s="25">
        <v>2</v>
      </c>
    </row>
    <row r="229" spans="1:13">
      <c r="A229" s="36" t="s">
        <v>439</v>
      </c>
      <c r="C229" s="102" t="s">
        <v>478</v>
      </c>
      <c r="G229" s="97">
        <v>0</v>
      </c>
      <c r="H229" s="97">
        <v>312</v>
      </c>
      <c r="I229" s="97" t="s">
        <v>41</v>
      </c>
      <c r="L229" s="36" t="s">
        <v>507</v>
      </c>
      <c r="M229" s="25">
        <v>2</v>
      </c>
    </row>
    <row r="230" spans="1:13">
      <c r="A230" s="36" t="s">
        <v>440</v>
      </c>
      <c r="C230" s="102" t="s">
        <v>478</v>
      </c>
      <c r="G230" s="97">
        <v>0</v>
      </c>
      <c r="H230" s="97">
        <v>300</v>
      </c>
      <c r="I230" s="97" t="s">
        <v>41</v>
      </c>
      <c r="L230" s="36" t="s">
        <v>485</v>
      </c>
      <c r="M230" s="25">
        <v>2</v>
      </c>
    </row>
    <row r="231" spans="1:13">
      <c r="A231" s="36" t="s">
        <v>441</v>
      </c>
      <c r="C231" s="102" t="s">
        <v>478</v>
      </c>
      <c r="G231" s="97">
        <v>0</v>
      </c>
      <c r="H231" s="97">
        <v>100</v>
      </c>
      <c r="I231" s="97" t="s">
        <v>41</v>
      </c>
      <c r="L231" s="36" t="s">
        <v>507</v>
      </c>
      <c r="M231" s="25">
        <v>2</v>
      </c>
    </row>
    <row r="232" spans="1:13">
      <c r="A232" s="36" t="s">
        <v>442</v>
      </c>
      <c r="C232" s="102" t="s">
        <v>478</v>
      </c>
      <c r="G232" s="97">
        <v>0</v>
      </c>
      <c r="H232" s="97">
        <v>110</v>
      </c>
      <c r="I232" s="97" t="s">
        <v>41</v>
      </c>
      <c r="L232" s="36" t="s">
        <v>507</v>
      </c>
      <c r="M232" s="25">
        <v>2</v>
      </c>
    </row>
    <row r="233" spans="1:13">
      <c r="A233" s="36" t="s">
        <v>443</v>
      </c>
      <c r="C233" s="102" t="s">
        <v>478</v>
      </c>
      <c r="G233" s="97">
        <v>0</v>
      </c>
      <c r="H233" s="97">
        <v>50</v>
      </c>
      <c r="I233" s="97" t="s">
        <v>41</v>
      </c>
      <c r="L233" s="36" t="s">
        <v>507</v>
      </c>
      <c r="M233" s="25">
        <v>2</v>
      </c>
    </row>
    <row r="234" spans="1:13">
      <c r="A234" s="36" t="s">
        <v>444</v>
      </c>
      <c r="C234" s="102" t="s">
        <v>478</v>
      </c>
      <c r="G234" s="97">
        <v>0</v>
      </c>
      <c r="H234" s="97">
        <v>150</v>
      </c>
      <c r="I234" s="97" t="s">
        <v>41</v>
      </c>
      <c r="L234" s="36" t="s">
        <v>485</v>
      </c>
      <c r="M234" s="25">
        <v>2</v>
      </c>
    </row>
    <row r="235" spans="1:13">
      <c r="A235" s="36" t="s">
        <v>445</v>
      </c>
      <c r="C235" s="102" t="s">
        <v>479</v>
      </c>
      <c r="G235" s="97">
        <v>0</v>
      </c>
      <c r="H235" s="97">
        <v>450</v>
      </c>
      <c r="I235" s="97" t="s">
        <v>48</v>
      </c>
      <c r="L235" s="36" t="s">
        <v>507</v>
      </c>
      <c r="M235" s="25">
        <v>1</v>
      </c>
    </row>
    <row r="236" spans="1:13">
      <c r="A236" s="36" t="s">
        <v>446</v>
      </c>
      <c r="C236" s="102" t="s">
        <v>479</v>
      </c>
      <c r="G236" s="97">
        <v>0</v>
      </c>
      <c r="H236" s="97">
        <v>325</v>
      </c>
      <c r="I236" s="97" t="s">
        <v>48</v>
      </c>
      <c r="L236" s="36" t="s">
        <v>507</v>
      </c>
      <c r="M236" s="25">
        <v>1</v>
      </c>
    </row>
    <row r="237" spans="1:13">
      <c r="A237" s="36" t="s">
        <v>447</v>
      </c>
      <c r="C237" s="102" t="s">
        <v>479</v>
      </c>
      <c r="G237" s="97">
        <v>0</v>
      </c>
      <c r="H237" s="101">
        <v>319</v>
      </c>
      <c r="I237" s="97" t="s">
        <v>48</v>
      </c>
      <c r="L237" s="36" t="s">
        <v>507</v>
      </c>
      <c r="M237" s="25">
        <v>1</v>
      </c>
    </row>
    <row r="238" spans="1:13">
      <c r="A238" s="36" t="s">
        <v>448</v>
      </c>
      <c r="C238" s="104" t="s">
        <v>481</v>
      </c>
      <c r="G238" s="97">
        <v>0</v>
      </c>
      <c r="H238" s="97">
        <v>500</v>
      </c>
      <c r="I238" s="101" t="s">
        <v>49</v>
      </c>
      <c r="L238" s="36" t="s">
        <v>507</v>
      </c>
      <c r="M238" s="25">
        <v>1</v>
      </c>
    </row>
    <row r="239" spans="1:13">
      <c r="A239" s="36" t="s">
        <v>449</v>
      </c>
      <c r="C239" s="104" t="s">
        <v>478</v>
      </c>
      <c r="G239" s="97">
        <v>0</v>
      </c>
      <c r="H239" s="97">
        <v>250</v>
      </c>
      <c r="I239" s="101" t="s">
        <v>49</v>
      </c>
      <c r="L239" s="36" t="s">
        <v>485</v>
      </c>
      <c r="M239" s="25">
        <v>2</v>
      </c>
    </row>
    <row r="240" spans="1:13">
      <c r="A240" s="36" t="s">
        <v>450</v>
      </c>
      <c r="C240" s="104" t="s">
        <v>481</v>
      </c>
      <c r="G240" s="97">
        <v>0</v>
      </c>
      <c r="H240" s="97">
        <v>600</v>
      </c>
      <c r="I240" s="101" t="s">
        <v>35</v>
      </c>
      <c r="L240" s="36" t="s">
        <v>507</v>
      </c>
      <c r="M240" s="25">
        <v>1</v>
      </c>
    </row>
    <row r="241" spans="1:13">
      <c r="A241" s="94" t="s">
        <v>451</v>
      </c>
      <c r="C241" s="102" t="s">
        <v>478</v>
      </c>
      <c r="G241" s="97">
        <v>1</v>
      </c>
      <c r="H241" s="97">
        <v>50</v>
      </c>
      <c r="I241" s="97" t="s">
        <v>41</v>
      </c>
      <c r="L241" s="36" t="s">
        <v>507</v>
      </c>
      <c r="M241" s="25">
        <v>2</v>
      </c>
    </row>
    <row r="242" spans="1:13">
      <c r="A242" s="36" t="s">
        <v>452</v>
      </c>
      <c r="C242" s="102" t="s">
        <v>478</v>
      </c>
      <c r="G242" s="97">
        <v>0</v>
      </c>
      <c r="H242" s="97">
        <v>400</v>
      </c>
      <c r="I242" s="97" t="s">
        <v>41</v>
      </c>
      <c r="L242" s="36" t="s">
        <v>484</v>
      </c>
      <c r="M242" s="25">
        <v>2</v>
      </c>
    </row>
    <row r="243" spans="1:13" s="117" customFormat="1">
      <c r="A243" s="114" t="s">
        <v>453</v>
      </c>
      <c r="B243" s="114" t="s">
        <v>508</v>
      </c>
      <c r="C243" s="115"/>
      <c r="D243" s="114"/>
      <c r="E243" s="114"/>
      <c r="F243" s="114"/>
      <c r="G243" s="116"/>
      <c r="H243" s="116"/>
      <c r="I243" s="116"/>
      <c r="J243" s="114"/>
      <c r="K243" s="114"/>
      <c r="L243" s="114" t="s">
        <v>508</v>
      </c>
      <c r="M243" s="114" t="s">
        <v>508</v>
      </c>
    </row>
    <row r="244" spans="1:13">
      <c r="A244" s="36" t="s">
        <v>454</v>
      </c>
      <c r="C244" s="102" t="s">
        <v>479</v>
      </c>
      <c r="G244" s="97">
        <v>1</v>
      </c>
      <c r="H244" s="97">
        <v>150</v>
      </c>
      <c r="I244" s="97" t="s">
        <v>48</v>
      </c>
      <c r="L244" s="36" t="s">
        <v>484</v>
      </c>
      <c r="M244" s="25">
        <v>1</v>
      </c>
    </row>
    <row r="245" spans="1:13" s="111" customFormat="1">
      <c r="A245" s="108" t="s">
        <v>455</v>
      </c>
      <c r="B245" s="108"/>
      <c r="C245" s="109" t="s">
        <v>478</v>
      </c>
      <c r="D245" s="108"/>
      <c r="E245" s="108"/>
      <c r="F245" s="108"/>
      <c r="G245" s="110">
        <v>0</v>
      </c>
      <c r="H245" s="110">
        <v>150</v>
      </c>
      <c r="I245" s="110" t="s">
        <v>41</v>
      </c>
      <c r="J245" s="108"/>
      <c r="K245" s="108"/>
      <c r="L245" s="108" t="s">
        <v>485</v>
      </c>
      <c r="M245" s="111">
        <v>2</v>
      </c>
    </row>
    <row r="246" spans="1:13">
      <c r="A246" s="36" t="s">
        <v>506</v>
      </c>
      <c r="C246" s="102" t="s">
        <v>479</v>
      </c>
      <c r="G246" s="97">
        <v>0</v>
      </c>
      <c r="H246" s="97">
        <v>200</v>
      </c>
      <c r="I246" s="97" t="s">
        <v>48</v>
      </c>
      <c r="L246" s="36" t="s">
        <v>507</v>
      </c>
      <c r="M246" s="25">
        <v>1</v>
      </c>
    </row>
    <row r="247" spans="1:13">
      <c r="A247" s="36" t="s">
        <v>456</v>
      </c>
      <c r="C247" s="102" t="s">
        <v>479</v>
      </c>
      <c r="G247" s="97">
        <v>1</v>
      </c>
      <c r="H247" s="97">
        <v>250</v>
      </c>
      <c r="I247" s="97" t="s">
        <v>48</v>
      </c>
      <c r="L247" s="36" t="s">
        <v>485</v>
      </c>
      <c r="M247" s="25">
        <v>1</v>
      </c>
    </row>
    <row r="248" spans="1:13">
      <c r="A248" s="36" t="s">
        <v>457</v>
      </c>
      <c r="C248" s="102" t="s">
        <v>479</v>
      </c>
      <c r="G248" s="97">
        <v>0</v>
      </c>
      <c r="H248" s="97">
        <v>250</v>
      </c>
      <c r="I248" s="97" t="s">
        <v>48</v>
      </c>
      <c r="L248" s="36" t="s">
        <v>507</v>
      </c>
      <c r="M248" s="25">
        <v>1</v>
      </c>
    </row>
    <row r="249" spans="1:13">
      <c r="A249" s="94" t="s">
        <v>458</v>
      </c>
      <c r="C249" s="102" t="s">
        <v>478</v>
      </c>
      <c r="G249" s="97">
        <v>0</v>
      </c>
      <c r="H249" s="97">
        <v>200</v>
      </c>
      <c r="I249" s="97" t="s">
        <v>41</v>
      </c>
      <c r="L249" s="36" t="s">
        <v>485</v>
      </c>
      <c r="M249" s="25">
        <v>2</v>
      </c>
    </row>
    <row r="250" spans="1:13">
      <c r="A250" s="36" t="s">
        <v>459</v>
      </c>
      <c r="C250" s="102" t="s">
        <v>479</v>
      </c>
      <c r="G250" s="97">
        <v>0</v>
      </c>
      <c r="H250" s="97">
        <v>300</v>
      </c>
      <c r="I250" s="97" t="s">
        <v>48</v>
      </c>
      <c r="L250" s="36" t="s">
        <v>507</v>
      </c>
      <c r="M250" s="25">
        <v>1</v>
      </c>
    </row>
    <row r="251" spans="1:13">
      <c r="A251" s="36" t="s">
        <v>460</v>
      </c>
      <c r="C251" s="102" t="s">
        <v>478</v>
      </c>
      <c r="G251" s="97">
        <v>1</v>
      </c>
      <c r="H251" s="97">
        <v>200</v>
      </c>
      <c r="I251" s="97" t="s">
        <v>41</v>
      </c>
      <c r="L251" s="36" t="s">
        <v>484</v>
      </c>
      <c r="M251" s="25">
        <v>2</v>
      </c>
    </row>
    <row r="252" spans="1:13">
      <c r="A252" s="36" t="s">
        <v>461</v>
      </c>
      <c r="C252" s="102" t="s">
        <v>478</v>
      </c>
      <c r="G252" s="97">
        <v>1</v>
      </c>
      <c r="H252" s="97">
        <v>180</v>
      </c>
      <c r="I252" s="97" t="s">
        <v>41</v>
      </c>
      <c r="L252" s="36" t="s">
        <v>484</v>
      </c>
      <c r="M252" s="25">
        <v>2</v>
      </c>
    </row>
    <row r="253" spans="1:13">
      <c r="A253" s="36" t="s">
        <v>462</v>
      </c>
      <c r="C253" s="102" t="s">
        <v>478</v>
      </c>
      <c r="G253" s="97">
        <v>1</v>
      </c>
      <c r="H253" s="97">
        <v>100</v>
      </c>
      <c r="I253" s="97" t="s">
        <v>41</v>
      </c>
      <c r="L253" s="36" t="s">
        <v>484</v>
      </c>
      <c r="M253" s="25">
        <v>2</v>
      </c>
    </row>
    <row r="254" spans="1:13" s="117" customFormat="1">
      <c r="A254" s="114" t="s">
        <v>463</v>
      </c>
      <c r="B254" s="114" t="s">
        <v>508</v>
      </c>
      <c r="C254" s="115"/>
      <c r="D254" s="114"/>
      <c r="E254" s="114"/>
      <c r="F254" s="114"/>
      <c r="G254" s="116"/>
      <c r="H254" s="116"/>
      <c r="I254" s="116"/>
      <c r="J254" s="114"/>
      <c r="K254" s="114"/>
      <c r="L254" s="114" t="s">
        <v>508</v>
      </c>
      <c r="M254" s="114" t="s">
        <v>508</v>
      </c>
    </row>
    <row r="255" spans="1:13">
      <c r="A255" s="36" t="s">
        <v>464</v>
      </c>
      <c r="C255" s="102" t="s">
        <v>478</v>
      </c>
      <c r="G255" s="97">
        <v>1</v>
      </c>
      <c r="H255" s="97">
        <v>50</v>
      </c>
      <c r="I255" s="97" t="s">
        <v>41</v>
      </c>
      <c r="L255" s="36" t="s">
        <v>484</v>
      </c>
      <c r="M255" s="25">
        <v>2</v>
      </c>
    </row>
    <row r="256" spans="1:13">
      <c r="A256" s="36" t="s">
        <v>465</v>
      </c>
      <c r="C256" s="102" t="s">
        <v>478</v>
      </c>
      <c r="G256" s="97">
        <v>0</v>
      </c>
      <c r="H256" s="97">
        <v>100</v>
      </c>
      <c r="I256" s="97" t="s">
        <v>41</v>
      </c>
      <c r="L256" s="36" t="s">
        <v>507</v>
      </c>
      <c r="M256" s="25">
        <v>2</v>
      </c>
    </row>
    <row r="257" spans="1:13">
      <c r="A257" s="94" t="s">
        <v>466</v>
      </c>
      <c r="C257" s="102" t="s">
        <v>479</v>
      </c>
      <c r="G257" s="97">
        <v>0</v>
      </c>
      <c r="H257" s="97">
        <v>430</v>
      </c>
      <c r="I257" s="97" t="s">
        <v>48</v>
      </c>
      <c r="L257" s="36" t="s">
        <v>507</v>
      </c>
      <c r="M257" s="25">
        <v>1</v>
      </c>
    </row>
    <row r="258" spans="1:13" s="117" customFormat="1">
      <c r="A258" s="114" t="s">
        <v>477</v>
      </c>
      <c r="B258" s="114" t="s">
        <v>508</v>
      </c>
      <c r="C258" s="115"/>
      <c r="D258" s="114"/>
      <c r="E258" s="114"/>
      <c r="F258" s="114"/>
      <c r="G258" s="116"/>
      <c r="H258" s="116"/>
      <c r="I258" s="116"/>
      <c r="J258" s="114"/>
      <c r="K258" s="114"/>
      <c r="L258" s="114" t="s">
        <v>508</v>
      </c>
      <c r="M258" s="114" t="s">
        <v>508</v>
      </c>
    </row>
    <row r="259" spans="1:13" s="117" customFormat="1">
      <c r="A259" s="114" t="s">
        <v>476</v>
      </c>
      <c r="B259" s="114" t="s">
        <v>508</v>
      </c>
      <c r="C259" s="115"/>
      <c r="D259" s="114"/>
      <c r="E259" s="114"/>
      <c r="F259" s="114"/>
      <c r="G259" s="116"/>
      <c r="H259" s="116"/>
      <c r="I259" s="116"/>
      <c r="J259" s="114"/>
      <c r="K259" s="114"/>
      <c r="L259" s="114" t="s">
        <v>508</v>
      </c>
      <c r="M259" s="114" t="s">
        <v>508</v>
      </c>
    </row>
    <row r="260" spans="1:13" s="117" customFormat="1">
      <c r="A260" s="114" t="s">
        <v>475</v>
      </c>
      <c r="B260" s="114" t="s">
        <v>508</v>
      </c>
      <c r="C260" s="115"/>
      <c r="D260" s="114"/>
      <c r="E260" s="114"/>
      <c r="F260" s="114"/>
      <c r="G260" s="116"/>
      <c r="H260" s="116"/>
      <c r="I260" s="116"/>
      <c r="J260" s="114"/>
      <c r="K260" s="114"/>
      <c r="L260" s="114" t="s">
        <v>508</v>
      </c>
      <c r="M260" s="114" t="s">
        <v>508</v>
      </c>
    </row>
    <row r="261" spans="1:13" s="111" customFormat="1">
      <c r="A261" s="108" t="s">
        <v>467</v>
      </c>
      <c r="B261" s="108"/>
      <c r="C261" s="109" t="s">
        <v>478</v>
      </c>
      <c r="D261" s="108"/>
      <c r="E261" s="108"/>
      <c r="F261" s="108"/>
      <c r="G261" s="110">
        <v>1</v>
      </c>
      <c r="H261" s="110">
        <v>100</v>
      </c>
      <c r="I261" s="110" t="s">
        <v>41</v>
      </c>
      <c r="J261" s="108"/>
      <c r="K261" s="108"/>
      <c r="L261" s="108" t="s">
        <v>484</v>
      </c>
      <c r="M261" s="111">
        <v>2</v>
      </c>
    </row>
    <row r="262" spans="1:13">
      <c r="A262" s="94" t="s">
        <v>468</v>
      </c>
      <c r="C262" s="102" t="s">
        <v>482</v>
      </c>
      <c r="G262" s="97">
        <v>0</v>
      </c>
      <c r="H262" s="97">
        <v>500</v>
      </c>
      <c r="I262" s="97" t="s">
        <v>49</v>
      </c>
      <c r="L262" s="36" t="s">
        <v>485</v>
      </c>
      <c r="M262" s="25">
        <v>3</v>
      </c>
    </row>
    <row r="263" spans="1:13">
      <c r="A263" s="36" t="s">
        <v>469</v>
      </c>
      <c r="C263" s="102" t="s">
        <v>479</v>
      </c>
      <c r="G263" s="97">
        <v>0</v>
      </c>
      <c r="H263" s="97">
        <v>600</v>
      </c>
      <c r="I263" s="97" t="s">
        <v>48</v>
      </c>
      <c r="L263" s="36" t="s">
        <v>485</v>
      </c>
      <c r="M263" s="25">
        <v>1</v>
      </c>
    </row>
    <row r="264" spans="1:13">
      <c r="A264" s="36" t="s">
        <v>470</v>
      </c>
      <c r="C264" s="102" t="s">
        <v>479</v>
      </c>
      <c r="G264" s="97">
        <v>0</v>
      </c>
      <c r="H264" s="97">
        <v>250</v>
      </c>
      <c r="I264" s="97" t="s">
        <v>48</v>
      </c>
      <c r="L264" s="36" t="s">
        <v>507</v>
      </c>
      <c r="M264" s="25">
        <v>1</v>
      </c>
    </row>
    <row r="265" spans="1:13">
      <c r="A265" s="94" t="s">
        <v>471</v>
      </c>
      <c r="C265" s="102" t="s">
        <v>479</v>
      </c>
      <c r="G265" s="97">
        <v>1</v>
      </c>
      <c r="H265" s="97">
        <v>75</v>
      </c>
      <c r="I265" s="97" t="s">
        <v>48</v>
      </c>
      <c r="L265" s="36" t="s">
        <v>484</v>
      </c>
      <c r="M265" s="25">
        <v>1</v>
      </c>
    </row>
    <row r="266" spans="1:13">
      <c r="A266" s="36" t="s">
        <v>472</v>
      </c>
      <c r="C266" s="102" t="s">
        <v>478</v>
      </c>
      <c r="G266" s="97">
        <v>0</v>
      </c>
      <c r="H266" s="97">
        <v>400</v>
      </c>
      <c r="I266" s="97" t="s">
        <v>41</v>
      </c>
      <c r="L266" s="36" t="s">
        <v>507</v>
      </c>
      <c r="M266" s="25">
        <v>2</v>
      </c>
    </row>
    <row r="267" spans="1:13">
      <c r="A267" s="36" t="s">
        <v>473</v>
      </c>
      <c r="C267" s="102" t="s">
        <v>478</v>
      </c>
      <c r="G267" s="97">
        <v>0</v>
      </c>
      <c r="H267" s="97">
        <v>300</v>
      </c>
      <c r="I267" s="97" t="s">
        <v>41</v>
      </c>
      <c r="L267" s="36" t="s">
        <v>485</v>
      </c>
      <c r="M267" s="25">
        <v>2</v>
      </c>
    </row>
    <row r="268" spans="1:13" s="111" customFormat="1">
      <c r="A268" s="108" t="s">
        <v>474</v>
      </c>
      <c r="B268" s="108"/>
      <c r="C268" s="109" t="s">
        <v>478</v>
      </c>
      <c r="D268" s="108"/>
      <c r="E268" s="108"/>
      <c r="F268" s="108"/>
      <c r="G268" s="110">
        <v>0</v>
      </c>
      <c r="H268" s="110">
        <v>300</v>
      </c>
      <c r="I268" s="110" t="s">
        <v>41</v>
      </c>
      <c r="J268" s="108"/>
      <c r="K268" s="108"/>
      <c r="L268" s="108" t="s">
        <v>507</v>
      </c>
      <c r="M268" s="111">
        <v>2</v>
      </c>
    </row>
    <row r="269" spans="1:13">
      <c r="A269" s="36" t="s">
        <v>488</v>
      </c>
      <c r="C269" s="102" t="s">
        <v>479</v>
      </c>
      <c r="G269" s="97">
        <v>1</v>
      </c>
      <c r="H269" s="97">
        <v>75</v>
      </c>
      <c r="I269" s="97" t="s">
        <v>48</v>
      </c>
      <c r="L269" s="36" t="s">
        <v>484</v>
      </c>
      <c r="M269" s="25">
        <v>1</v>
      </c>
    </row>
    <row r="270" spans="1:13">
      <c r="A270" s="36" t="s">
        <v>489</v>
      </c>
      <c r="C270" s="102" t="s">
        <v>479</v>
      </c>
      <c r="G270" s="97">
        <v>0</v>
      </c>
      <c r="H270" s="97">
        <v>250</v>
      </c>
      <c r="I270" s="97" t="s">
        <v>48</v>
      </c>
      <c r="L270" s="36" t="s">
        <v>507</v>
      </c>
      <c r="M270" s="25">
        <v>1</v>
      </c>
    </row>
    <row r="271" spans="1:13">
      <c r="A271" s="36" t="s">
        <v>490</v>
      </c>
      <c r="C271" s="102" t="s">
        <v>479</v>
      </c>
      <c r="G271" s="97">
        <v>1</v>
      </c>
      <c r="H271" s="97">
        <v>75</v>
      </c>
      <c r="I271" s="97" t="s">
        <v>48</v>
      </c>
      <c r="L271" s="36" t="s">
        <v>484</v>
      </c>
      <c r="M271" s="25">
        <v>1</v>
      </c>
    </row>
    <row r="272" spans="1:13">
      <c r="A272" s="36" t="s">
        <v>491</v>
      </c>
      <c r="C272" s="102" t="s">
        <v>479</v>
      </c>
      <c r="G272" s="97">
        <v>0</v>
      </c>
      <c r="H272" s="97">
        <v>1700</v>
      </c>
      <c r="I272" s="97" t="s">
        <v>48</v>
      </c>
      <c r="L272" s="36" t="s">
        <v>485</v>
      </c>
      <c r="M272" s="25">
        <v>1</v>
      </c>
    </row>
    <row r="273" spans="1:13">
      <c r="A273" s="105" t="s">
        <v>492</v>
      </c>
      <c r="C273" s="102" t="s">
        <v>478</v>
      </c>
      <c r="G273" s="97">
        <v>1</v>
      </c>
      <c r="H273" s="97">
        <v>25</v>
      </c>
      <c r="I273" s="97" t="s">
        <v>41</v>
      </c>
      <c r="L273" s="36" t="s">
        <v>484</v>
      </c>
      <c r="M273" s="25">
        <v>2</v>
      </c>
    </row>
    <row r="274" spans="1:13">
      <c r="A274" s="112" t="s">
        <v>493</v>
      </c>
      <c r="B274" s="108"/>
      <c r="C274" s="109" t="s">
        <v>478</v>
      </c>
      <c r="D274" s="108"/>
      <c r="E274" s="108"/>
      <c r="F274" s="108"/>
      <c r="G274" s="110">
        <v>1</v>
      </c>
      <c r="H274" s="110">
        <v>50</v>
      </c>
      <c r="I274" s="110" t="s">
        <v>41</v>
      </c>
      <c r="J274" s="108"/>
      <c r="K274" s="108"/>
      <c r="L274" s="108" t="s">
        <v>484</v>
      </c>
      <c r="M274" s="111">
        <v>2</v>
      </c>
    </row>
    <row r="275" spans="1:13">
      <c r="A275" s="107" t="s">
        <v>421</v>
      </c>
      <c r="C275" s="102" t="s">
        <v>478</v>
      </c>
      <c r="G275" s="97">
        <v>1</v>
      </c>
      <c r="H275" s="97">
        <v>25</v>
      </c>
      <c r="I275" s="97" t="s">
        <v>41</v>
      </c>
      <c r="L275" s="36" t="s">
        <v>484</v>
      </c>
      <c r="M275" s="25">
        <v>2</v>
      </c>
    </row>
    <row r="276" spans="1:13">
      <c r="A276" s="107" t="s">
        <v>494</v>
      </c>
      <c r="C276" s="102" t="s">
        <v>478</v>
      </c>
      <c r="G276" s="97">
        <v>1</v>
      </c>
      <c r="H276" s="97">
        <v>100</v>
      </c>
      <c r="I276" s="97" t="s">
        <v>41</v>
      </c>
      <c r="L276" s="36" t="s">
        <v>484</v>
      </c>
      <c r="M276" s="25">
        <v>2</v>
      </c>
    </row>
    <row r="277" spans="1:13">
      <c r="A277" s="106" t="s">
        <v>495</v>
      </c>
      <c r="C277" s="102" t="s">
        <v>478</v>
      </c>
      <c r="G277" s="97">
        <v>1</v>
      </c>
      <c r="H277" s="97">
        <v>50</v>
      </c>
      <c r="I277" s="97" t="s">
        <v>41</v>
      </c>
      <c r="L277" s="36" t="s">
        <v>484</v>
      </c>
      <c r="M277" s="25">
        <v>2</v>
      </c>
    </row>
    <row r="278" spans="1:13">
      <c r="A278" s="106" t="s">
        <v>153</v>
      </c>
      <c r="C278" s="102" t="s">
        <v>478</v>
      </c>
      <c r="G278" s="97">
        <v>1</v>
      </c>
      <c r="H278" s="97">
        <v>50</v>
      </c>
      <c r="I278" s="97" t="s">
        <v>41</v>
      </c>
      <c r="L278" s="36" t="s">
        <v>484</v>
      </c>
      <c r="M278" s="25">
        <v>2</v>
      </c>
    </row>
    <row r="279" spans="1:13">
      <c r="A279" s="106" t="s">
        <v>496</v>
      </c>
      <c r="C279" s="102" t="s">
        <v>478</v>
      </c>
      <c r="G279" s="97">
        <v>1</v>
      </c>
      <c r="H279" s="97">
        <v>50</v>
      </c>
      <c r="I279" s="97" t="s">
        <v>41</v>
      </c>
      <c r="L279" s="36" t="s">
        <v>484</v>
      </c>
      <c r="M279" s="25">
        <v>2</v>
      </c>
    </row>
    <row r="280" spans="1:13">
      <c r="A280" s="106" t="s">
        <v>497</v>
      </c>
      <c r="C280" s="102" t="s">
        <v>478</v>
      </c>
      <c r="G280" s="97">
        <v>1</v>
      </c>
      <c r="H280" s="97">
        <v>100</v>
      </c>
      <c r="I280" s="97" t="s">
        <v>41</v>
      </c>
      <c r="L280" s="36" t="s">
        <v>484</v>
      </c>
      <c r="M280" s="25">
        <v>2</v>
      </c>
    </row>
    <row r="281" spans="1:13">
      <c r="A281" s="106" t="s">
        <v>498</v>
      </c>
      <c r="C281" s="102" t="s">
        <v>478</v>
      </c>
      <c r="G281" s="97">
        <v>1</v>
      </c>
      <c r="H281" s="97">
        <v>50</v>
      </c>
      <c r="I281" s="97" t="s">
        <v>41</v>
      </c>
      <c r="L281" s="36" t="s">
        <v>484</v>
      </c>
      <c r="M281" s="25">
        <v>2</v>
      </c>
    </row>
    <row r="282" spans="1:13">
      <c r="A282" s="106" t="s">
        <v>499</v>
      </c>
      <c r="C282" s="102" t="s">
        <v>478</v>
      </c>
      <c r="G282" s="97">
        <v>1</v>
      </c>
      <c r="H282" s="97">
        <v>160</v>
      </c>
      <c r="I282" s="97" t="s">
        <v>41</v>
      </c>
      <c r="L282" s="36" t="s">
        <v>484</v>
      </c>
      <c r="M282" s="25">
        <v>2</v>
      </c>
    </row>
    <row r="283" spans="1:13">
      <c r="A283" s="105" t="s">
        <v>500</v>
      </c>
      <c r="C283" s="102" t="s">
        <v>478</v>
      </c>
      <c r="G283" s="97">
        <v>0</v>
      </c>
      <c r="H283" s="97">
        <v>150</v>
      </c>
      <c r="I283" s="97" t="s">
        <v>41</v>
      </c>
      <c r="L283" s="36" t="s">
        <v>507</v>
      </c>
      <c r="M283" s="25">
        <v>2</v>
      </c>
    </row>
    <row r="284" spans="1:13">
      <c r="A284" s="106" t="s">
        <v>501</v>
      </c>
      <c r="C284" s="102" t="s">
        <v>478</v>
      </c>
      <c r="G284" s="97">
        <v>1</v>
      </c>
      <c r="H284" s="97">
        <v>50</v>
      </c>
      <c r="I284" s="97" t="s">
        <v>41</v>
      </c>
      <c r="L284" s="36" t="s">
        <v>484</v>
      </c>
      <c r="M284" s="25">
        <v>2</v>
      </c>
    </row>
    <row r="285" spans="1:13">
      <c r="A285" s="36" t="s">
        <v>288</v>
      </c>
      <c r="C285" s="102" t="s">
        <v>478</v>
      </c>
      <c r="G285" s="97">
        <v>0</v>
      </c>
      <c r="H285" s="97">
        <v>236.3</v>
      </c>
      <c r="I285" s="97" t="s">
        <v>41</v>
      </c>
      <c r="L285" s="36" t="s">
        <v>485</v>
      </c>
      <c r="M285" s="25">
        <v>2</v>
      </c>
    </row>
    <row r="286" spans="1:13">
      <c r="A286" s="36" t="s">
        <v>302</v>
      </c>
      <c r="C286" s="102" t="s">
        <v>478</v>
      </c>
      <c r="G286" s="97">
        <v>0</v>
      </c>
      <c r="H286" s="97">
        <v>300</v>
      </c>
      <c r="I286" s="97" t="s">
        <v>41</v>
      </c>
      <c r="L286" s="36" t="s">
        <v>507</v>
      </c>
      <c r="M286" s="25">
        <v>2</v>
      </c>
    </row>
    <row r="287" spans="1:13">
      <c r="A287" s="36" t="s">
        <v>502</v>
      </c>
      <c r="C287" s="102" t="s">
        <v>478</v>
      </c>
      <c r="G287" s="97">
        <v>0</v>
      </c>
      <c r="H287" s="97">
        <v>175</v>
      </c>
      <c r="I287" s="97" t="s">
        <v>41</v>
      </c>
      <c r="L287" s="36" t="s">
        <v>507</v>
      </c>
      <c r="M287" s="25">
        <v>2</v>
      </c>
    </row>
    <row r="288" spans="1:13">
      <c r="A288" s="36" t="s">
        <v>503</v>
      </c>
      <c r="C288" s="102" t="s">
        <v>478</v>
      </c>
      <c r="G288" s="97">
        <v>0</v>
      </c>
      <c r="H288" s="97">
        <v>400</v>
      </c>
      <c r="I288" s="97" t="s">
        <v>41</v>
      </c>
      <c r="L288" s="36" t="s">
        <v>507</v>
      </c>
      <c r="M288" s="25">
        <v>2</v>
      </c>
    </row>
    <row r="289" spans="1:14">
      <c r="A289" s="36" t="s">
        <v>504</v>
      </c>
      <c r="C289" s="104" t="s">
        <v>481</v>
      </c>
      <c r="G289" s="97">
        <v>0</v>
      </c>
      <c r="H289" s="97">
        <v>2000</v>
      </c>
      <c r="I289" s="101" t="s">
        <v>35</v>
      </c>
      <c r="L289" s="36" t="s">
        <v>485</v>
      </c>
      <c r="M289" s="25">
        <v>1</v>
      </c>
    </row>
    <row r="290" spans="1:14">
      <c r="A290" s="36" t="s">
        <v>505</v>
      </c>
      <c r="C290" s="104" t="s">
        <v>482</v>
      </c>
      <c r="G290" s="97">
        <v>0</v>
      </c>
      <c r="H290" s="97">
        <v>0.75</v>
      </c>
      <c r="I290" s="101" t="s">
        <v>49</v>
      </c>
      <c r="L290" s="36" t="s">
        <v>507</v>
      </c>
      <c r="M290" s="25">
        <v>3</v>
      </c>
    </row>
    <row r="291" spans="1:14">
      <c r="A291" s="94" t="s">
        <v>471</v>
      </c>
      <c r="C291" s="102" t="s">
        <v>479</v>
      </c>
      <c r="G291" s="97">
        <v>1</v>
      </c>
      <c r="H291" s="97">
        <v>150</v>
      </c>
      <c r="I291" s="97" t="s">
        <v>48</v>
      </c>
      <c r="L291" s="36" t="s">
        <v>484</v>
      </c>
      <c r="M291" s="25">
        <v>1</v>
      </c>
    </row>
    <row r="292" spans="1:14">
      <c r="A292" s="36" t="s">
        <v>470</v>
      </c>
      <c r="C292" s="102" t="s">
        <v>478</v>
      </c>
      <c r="G292" s="97">
        <v>1</v>
      </c>
      <c r="H292" s="97">
        <v>0.17499999999999999</v>
      </c>
      <c r="I292" s="97" t="s">
        <v>41</v>
      </c>
      <c r="L292" s="36" t="s">
        <v>507</v>
      </c>
      <c r="M292" s="25">
        <v>2</v>
      </c>
    </row>
    <row r="293" spans="1:14">
      <c r="A293" s="36" t="s">
        <v>511</v>
      </c>
      <c r="C293" s="102" t="s">
        <v>478</v>
      </c>
      <c r="G293" s="97">
        <v>0</v>
      </c>
      <c r="H293" s="97">
        <v>300</v>
      </c>
      <c r="I293" s="97" t="s">
        <v>512</v>
      </c>
      <c r="L293" s="36" t="s">
        <v>507</v>
      </c>
      <c r="M293" s="25">
        <v>2</v>
      </c>
    </row>
    <row r="294" spans="1:14">
      <c r="A294" s="131" t="s">
        <v>518</v>
      </c>
      <c r="B294" s="132"/>
      <c r="C294" s="102" t="s">
        <v>478</v>
      </c>
      <c r="G294" s="97">
        <v>0</v>
      </c>
      <c r="H294" s="97">
        <v>300</v>
      </c>
      <c r="I294" s="97" t="s">
        <v>512</v>
      </c>
      <c r="L294" s="36" t="s">
        <v>507</v>
      </c>
      <c r="M294" s="25">
        <v>2</v>
      </c>
    </row>
    <row r="295" spans="1:14">
      <c r="A295" s="131" t="s">
        <v>519</v>
      </c>
      <c r="B295" s="132"/>
      <c r="C295" s="102" t="s">
        <v>478</v>
      </c>
      <c r="G295" s="97">
        <v>1</v>
      </c>
      <c r="H295" s="97">
        <v>50</v>
      </c>
      <c r="I295" s="101" t="s">
        <v>35</v>
      </c>
      <c r="L295" s="36" t="s">
        <v>484</v>
      </c>
      <c r="M295" s="25">
        <v>2</v>
      </c>
    </row>
    <row r="296" spans="1:14">
      <c r="A296" s="131" t="s">
        <v>520</v>
      </c>
      <c r="B296" s="132"/>
      <c r="C296" s="102" t="s">
        <v>478</v>
      </c>
      <c r="G296" s="97">
        <v>1</v>
      </c>
      <c r="H296" s="97">
        <v>25</v>
      </c>
      <c r="I296" s="97" t="s">
        <v>512</v>
      </c>
      <c r="L296" s="36" t="s">
        <v>484</v>
      </c>
      <c r="M296" s="25">
        <v>2</v>
      </c>
    </row>
    <row r="297" spans="1:14">
      <c r="A297" s="131" t="s">
        <v>521</v>
      </c>
      <c r="B297" s="132"/>
      <c r="C297" s="102" t="s">
        <v>478</v>
      </c>
      <c r="G297" s="97">
        <v>0</v>
      </c>
      <c r="H297" s="97">
        <v>100</v>
      </c>
      <c r="I297" s="97" t="s">
        <v>512</v>
      </c>
      <c r="L297" s="36" t="s">
        <v>485</v>
      </c>
      <c r="M297" s="25">
        <v>2</v>
      </c>
    </row>
    <row r="298" spans="1:14">
      <c r="A298" s="135" t="s">
        <v>522</v>
      </c>
      <c r="C298" s="102" t="s">
        <v>482</v>
      </c>
      <c r="G298" s="97">
        <v>1</v>
      </c>
      <c r="H298" s="97">
        <v>50</v>
      </c>
      <c r="I298" s="97" t="s">
        <v>512</v>
      </c>
      <c r="L298" s="36" t="s">
        <v>484</v>
      </c>
      <c r="M298" s="25">
        <v>2</v>
      </c>
    </row>
    <row r="299" spans="1:14">
      <c r="A299" s="136" t="s">
        <v>523</v>
      </c>
      <c r="C299" s="116" t="s">
        <v>508</v>
      </c>
      <c r="D299" s="115"/>
      <c r="E299" s="114"/>
      <c r="F299" s="114"/>
      <c r="G299" s="114"/>
      <c r="H299" s="116"/>
      <c r="I299" s="116"/>
      <c r="J299" s="116"/>
      <c r="K299" s="114"/>
      <c r="L299" s="114"/>
      <c r="M299" s="114" t="s">
        <v>508</v>
      </c>
      <c r="N299" s="114" t="s">
        <v>508</v>
      </c>
    </row>
    <row r="300" spans="1:14">
      <c r="A300" s="136" t="s">
        <v>524</v>
      </c>
      <c r="C300" s="116" t="s">
        <v>508</v>
      </c>
      <c r="D300" s="115"/>
      <c r="E300" s="114"/>
      <c r="F300" s="114"/>
      <c r="G300" s="114"/>
      <c r="H300" s="116"/>
      <c r="I300" s="116"/>
      <c r="J300" s="116"/>
      <c r="K300" s="114"/>
      <c r="L300" s="114"/>
      <c r="M300" s="114" t="s">
        <v>508</v>
      </c>
      <c r="N300" s="114" t="s">
        <v>508</v>
      </c>
    </row>
    <row r="301" spans="1:14">
      <c r="A301" s="136" t="s">
        <v>525</v>
      </c>
      <c r="C301" s="116" t="s">
        <v>508</v>
      </c>
      <c r="D301" s="115"/>
      <c r="E301" s="114"/>
      <c r="F301" s="114"/>
      <c r="G301" s="114"/>
      <c r="H301" s="116"/>
      <c r="I301" s="116"/>
      <c r="J301" s="116"/>
      <c r="K301" s="114"/>
      <c r="L301" s="114"/>
      <c r="M301" s="114" t="s">
        <v>508</v>
      </c>
      <c r="N301" s="114" t="s">
        <v>508</v>
      </c>
    </row>
    <row r="302" spans="1:14">
      <c r="A302" s="136" t="s">
        <v>526</v>
      </c>
      <c r="C302" s="116" t="s">
        <v>508</v>
      </c>
      <c r="D302" s="115"/>
      <c r="E302" s="114"/>
      <c r="F302" s="114"/>
      <c r="G302" s="114"/>
      <c r="H302" s="116"/>
      <c r="I302" s="116"/>
      <c r="J302" s="116"/>
      <c r="K302" s="114"/>
      <c r="L302" s="114"/>
      <c r="M302" s="114" t="s">
        <v>508</v>
      </c>
      <c r="N302" s="114" t="s">
        <v>508</v>
      </c>
    </row>
    <row r="303" spans="1:14">
      <c r="A303" s="136" t="s">
        <v>453</v>
      </c>
      <c r="C303" s="116" t="s">
        <v>508</v>
      </c>
      <c r="D303" s="115"/>
      <c r="E303" s="114"/>
      <c r="F303" s="114"/>
      <c r="G303" s="114"/>
      <c r="H303" s="116"/>
      <c r="I303" s="116"/>
      <c r="J303" s="116"/>
      <c r="K303" s="114"/>
      <c r="L303" s="114"/>
      <c r="M303" s="114" t="s">
        <v>508</v>
      </c>
      <c r="N303" s="114" t="s">
        <v>508</v>
      </c>
    </row>
    <row r="304" spans="1:14">
      <c r="A304" s="136" t="s">
        <v>527</v>
      </c>
      <c r="C304" s="116" t="s">
        <v>508</v>
      </c>
      <c r="D304" s="115"/>
      <c r="E304" s="114"/>
      <c r="F304" s="114"/>
      <c r="G304" s="114"/>
      <c r="H304" s="116"/>
      <c r="I304" s="116"/>
      <c r="J304" s="116"/>
      <c r="K304" s="114"/>
      <c r="L304" s="114"/>
      <c r="M304" s="114" t="s">
        <v>508</v>
      </c>
      <c r="N304" s="114" t="s">
        <v>508</v>
      </c>
    </row>
    <row r="305" spans="1:14">
      <c r="A305" s="136" t="s">
        <v>528</v>
      </c>
      <c r="C305" s="116" t="s">
        <v>508</v>
      </c>
      <c r="D305" s="115"/>
      <c r="E305" s="114"/>
      <c r="F305" s="114"/>
      <c r="G305" s="114"/>
      <c r="H305" s="116"/>
      <c r="I305" s="116"/>
      <c r="J305" s="116"/>
      <c r="K305" s="114"/>
      <c r="L305" s="114"/>
      <c r="M305" s="114" t="s">
        <v>508</v>
      </c>
      <c r="N305" s="114" t="s">
        <v>508</v>
      </c>
    </row>
    <row r="306" spans="1:14">
      <c r="A306" s="136" t="s">
        <v>529</v>
      </c>
      <c r="C306" s="116" t="s">
        <v>508</v>
      </c>
      <c r="D306" s="115"/>
      <c r="E306" s="114"/>
      <c r="F306" s="114"/>
      <c r="G306" s="114"/>
      <c r="H306" s="116"/>
      <c r="I306" s="116"/>
      <c r="J306" s="116"/>
      <c r="K306" s="114"/>
      <c r="L306" s="114"/>
      <c r="M306" s="114" t="s">
        <v>508</v>
      </c>
      <c r="N306" s="114" t="s">
        <v>508</v>
      </c>
    </row>
    <row r="307" spans="1:14">
      <c r="A307" s="136" t="s">
        <v>530</v>
      </c>
      <c r="C307" s="116" t="s">
        <v>508</v>
      </c>
      <c r="D307" s="115"/>
      <c r="E307" s="114"/>
      <c r="F307" s="114"/>
      <c r="G307" s="114"/>
      <c r="H307" s="116"/>
      <c r="I307" s="116"/>
      <c r="J307" s="116"/>
      <c r="K307" s="114"/>
      <c r="L307" s="114"/>
      <c r="M307" s="114" t="s">
        <v>508</v>
      </c>
      <c r="N307" s="114" t="s">
        <v>508</v>
      </c>
    </row>
    <row r="308" spans="1:14">
      <c r="A308" s="136" t="s">
        <v>531</v>
      </c>
      <c r="C308" s="116" t="s">
        <v>508</v>
      </c>
      <c r="D308" s="115"/>
      <c r="E308" s="114"/>
      <c r="F308" s="114"/>
      <c r="G308" s="114"/>
      <c r="H308" s="116"/>
      <c r="I308" s="116"/>
      <c r="J308" s="116"/>
      <c r="K308" s="114"/>
      <c r="L308" s="114"/>
      <c r="M308" s="114" t="s">
        <v>508</v>
      </c>
      <c r="N308" s="114" t="s">
        <v>508</v>
      </c>
    </row>
    <row r="309" spans="1:14">
      <c r="A309" s="136" t="s">
        <v>532</v>
      </c>
      <c r="C309" s="116" t="s">
        <v>508</v>
      </c>
      <c r="D309" s="115"/>
      <c r="E309" s="114"/>
      <c r="F309" s="114"/>
      <c r="G309" s="114"/>
      <c r="H309" s="116"/>
      <c r="I309" s="116"/>
      <c r="J309" s="116"/>
      <c r="K309" s="114"/>
      <c r="L309" s="114"/>
      <c r="M309" s="114" t="s">
        <v>508</v>
      </c>
      <c r="N309" s="114" t="s">
        <v>508</v>
      </c>
    </row>
    <row r="310" spans="1:14">
      <c r="A310" s="136" t="s">
        <v>533</v>
      </c>
      <c r="C310" s="116" t="s">
        <v>508</v>
      </c>
      <c r="D310" s="115"/>
      <c r="E310" s="114"/>
      <c r="F310" s="114"/>
      <c r="G310" s="114"/>
      <c r="H310" s="116"/>
      <c r="I310" s="116"/>
      <c r="J310" s="116"/>
      <c r="K310" s="114"/>
      <c r="L310" s="114"/>
      <c r="M310" s="114" t="s">
        <v>508</v>
      </c>
      <c r="N310" s="114" t="s">
        <v>508</v>
      </c>
    </row>
    <row r="311" spans="1:14">
      <c r="A311" s="136" t="s">
        <v>534</v>
      </c>
      <c r="C311" s="102" t="s">
        <v>478</v>
      </c>
      <c r="G311" s="97">
        <v>1</v>
      </c>
      <c r="H311" s="97">
        <v>100</v>
      </c>
      <c r="I311" s="97" t="s">
        <v>41</v>
      </c>
      <c r="L311" s="36" t="s">
        <v>484</v>
      </c>
      <c r="M311" s="25">
        <v>2</v>
      </c>
    </row>
    <row r="312" spans="1:14">
      <c r="A312" s="136" t="s">
        <v>535</v>
      </c>
      <c r="C312" s="116" t="s">
        <v>508</v>
      </c>
      <c r="D312" s="115"/>
      <c r="E312" s="114"/>
      <c r="F312" s="114"/>
      <c r="G312" s="114"/>
      <c r="H312" s="116"/>
      <c r="I312" s="116"/>
      <c r="J312" s="116"/>
      <c r="K312" s="114"/>
      <c r="L312" s="114"/>
      <c r="M312" s="114" t="s">
        <v>508</v>
      </c>
      <c r="N312" s="114" t="s">
        <v>508</v>
      </c>
    </row>
    <row r="313" spans="1:14">
      <c r="A313" s="136" t="s">
        <v>536</v>
      </c>
      <c r="C313" s="116" t="s">
        <v>508</v>
      </c>
      <c r="D313" s="115"/>
      <c r="E313" s="114"/>
      <c r="F313" s="114"/>
      <c r="G313" s="114"/>
      <c r="H313" s="116"/>
      <c r="I313" s="116"/>
      <c r="J313" s="116"/>
      <c r="K313" s="114"/>
      <c r="L313" s="114"/>
      <c r="M313" s="114" t="s">
        <v>508</v>
      </c>
      <c r="N313" s="114" t="s">
        <v>508</v>
      </c>
    </row>
    <row r="314" spans="1:14">
      <c r="A314" s="136" t="s">
        <v>537</v>
      </c>
      <c r="C314" s="102" t="s">
        <v>478</v>
      </c>
      <c r="G314" s="97">
        <v>0</v>
      </c>
      <c r="H314" s="97">
        <v>200</v>
      </c>
      <c r="I314" s="97" t="s">
        <v>41</v>
      </c>
      <c r="L314" s="36" t="s">
        <v>485</v>
      </c>
      <c r="M314" s="25">
        <v>2</v>
      </c>
    </row>
    <row r="315" spans="1:14">
      <c r="A315" s="136" t="s">
        <v>538</v>
      </c>
      <c r="C315" s="102" t="s">
        <v>478</v>
      </c>
      <c r="G315" s="97">
        <v>1</v>
      </c>
      <c r="H315" s="97">
        <v>50</v>
      </c>
      <c r="I315" s="97" t="s">
        <v>41</v>
      </c>
      <c r="L315" s="36" t="s">
        <v>484</v>
      </c>
      <c r="M315" s="25">
        <v>2</v>
      </c>
    </row>
    <row r="316" spans="1:14">
      <c r="A316" s="136" t="s">
        <v>539</v>
      </c>
      <c r="C316" s="116" t="s">
        <v>508</v>
      </c>
      <c r="D316" s="115"/>
      <c r="E316" s="114"/>
      <c r="F316" s="114"/>
      <c r="G316" s="114"/>
      <c r="H316" s="116"/>
      <c r="I316" s="116"/>
      <c r="J316" s="116"/>
      <c r="K316" s="114"/>
      <c r="L316" s="114"/>
      <c r="M316" s="114" t="s">
        <v>508</v>
      </c>
      <c r="N316" s="114" t="s">
        <v>508</v>
      </c>
    </row>
    <row r="317" spans="1:14">
      <c r="A317" s="136" t="s">
        <v>540</v>
      </c>
      <c r="C317" s="102" t="s">
        <v>478</v>
      </c>
      <c r="G317" s="97">
        <v>0</v>
      </c>
      <c r="H317" s="97">
        <v>300</v>
      </c>
      <c r="I317" s="97" t="s">
        <v>41</v>
      </c>
      <c r="L317" s="36" t="s">
        <v>507</v>
      </c>
      <c r="M317" s="25">
        <v>2</v>
      </c>
    </row>
    <row r="318" spans="1:14">
      <c r="A318" s="136" t="s">
        <v>541</v>
      </c>
      <c r="C318" s="116" t="s">
        <v>508</v>
      </c>
      <c r="D318" s="115"/>
      <c r="E318" s="114"/>
      <c r="F318" s="114"/>
      <c r="G318" s="114"/>
      <c r="H318" s="116"/>
      <c r="I318" s="116"/>
      <c r="J318" s="116"/>
      <c r="K318" s="114"/>
      <c r="L318" s="114"/>
      <c r="M318" s="114" t="s">
        <v>508</v>
      </c>
      <c r="N318" s="114" t="s">
        <v>508</v>
      </c>
    </row>
    <row r="319" spans="1:14">
      <c r="A319" s="136" t="s">
        <v>542</v>
      </c>
      <c r="C319" s="102" t="s">
        <v>482</v>
      </c>
      <c r="G319" s="97">
        <v>0</v>
      </c>
      <c r="H319" s="97">
        <v>10</v>
      </c>
      <c r="I319" s="97" t="s">
        <v>512</v>
      </c>
      <c r="L319" s="36" t="s">
        <v>485</v>
      </c>
      <c r="M319" s="25">
        <v>2</v>
      </c>
    </row>
    <row r="320" spans="1:14">
      <c r="A320" s="136" t="s">
        <v>567</v>
      </c>
      <c r="C320" s="102" t="s">
        <v>479</v>
      </c>
      <c r="G320" s="97">
        <v>1</v>
      </c>
      <c r="H320" s="97">
        <v>25</v>
      </c>
      <c r="I320" s="97" t="s">
        <v>568</v>
      </c>
      <c r="L320" s="36" t="s">
        <v>484</v>
      </c>
      <c r="M320" s="25">
        <v>2</v>
      </c>
    </row>
    <row r="321" spans="1:14">
      <c r="A321" s="136" t="s">
        <v>543</v>
      </c>
      <c r="C321" s="102" t="s">
        <v>478</v>
      </c>
      <c r="G321" s="97">
        <v>1</v>
      </c>
      <c r="H321" s="97">
        <v>100</v>
      </c>
      <c r="I321" s="97" t="s">
        <v>41</v>
      </c>
      <c r="L321" s="36" t="s">
        <v>484</v>
      </c>
      <c r="M321" s="25">
        <v>2</v>
      </c>
    </row>
    <row r="322" spans="1:14">
      <c r="A322" s="136" t="s">
        <v>544</v>
      </c>
      <c r="C322" s="102" t="s">
        <v>479</v>
      </c>
      <c r="G322" s="97">
        <v>0</v>
      </c>
      <c r="H322" s="97">
        <v>275</v>
      </c>
      <c r="I322" s="97" t="s">
        <v>568</v>
      </c>
      <c r="L322" s="36" t="s">
        <v>485</v>
      </c>
      <c r="M322" s="25">
        <v>2</v>
      </c>
    </row>
    <row r="323" spans="1:14">
      <c r="A323" s="136" t="s">
        <v>545</v>
      </c>
      <c r="C323" s="102" t="s">
        <v>478</v>
      </c>
      <c r="G323" s="97">
        <v>1</v>
      </c>
      <c r="H323" s="97">
        <v>100</v>
      </c>
      <c r="I323" s="97" t="s">
        <v>41</v>
      </c>
      <c r="L323" s="36" t="s">
        <v>484</v>
      </c>
      <c r="M323" s="25">
        <v>2</v>
      </c>
    </row>
    <row r="324" spans="1:14">
      <c r="A324" s="136" t="s">
        <v>546</v>
      </c>
      <c r="C324" s="116" t="s">
        <v>508</v>
      </c>
      <c r="D324" s="115"/>
      <c r="E324" s="114"/>
      <c r="F324" s="114"/>
      <c r="G324" s="114"/>
      <c r="H324" s="116"/>
      <c r="I324" s="116"/>
      <c r="J324" s="116"/>
      <c r="K324" s="114"/>
      <c r="L324" s="114"/>
      <c r="M324" s="114" t="s">
        <v>508</v>
      </c>
      <c r="N324" s="114" t="s">
        <v>508</v>
      </c>
    </row>
    <row r="325" spans="1:14">
      <c r="A325" s="136" t="s">
        <v>547</v>
      </c>
      <c r="C325" s="116" t="s">
        <v>508</v>
      </c>
      <c r="D325" s="115"/>
      <c r="E325" s="114"/>
      <c r="F325" s="114"/>
      <c r="G325" s="114"/>
      <c r="H325" s="116"/>
      <c r="I325" s="116"/>
      <c r="J325" s="116"/>
      <c r="K325" s="114"/>
      <c r="L325" s="114"/>
      <c r="M325" s="114" t="s">
        <v>508</v>
      </c>
      <c r="N325" s="114" t="s">
        <v>508</v>
      </c>
    </row>
    <row r="326" spans="1:14">
      <c r="A326" s="136" t="s">
        <v>548</v>
      </c>
      <c r="C326" s="116" t="s">
        <v>508</v>
      </c>
      <c r="D326" s="115"/>
      <c r="E326" s="114"/>
      <c r="F326" s="114"/>
      <c r="G326" s="114"/>
      <c r="H326" s="116"/>
      <c r="I326" s="116"/>
      <c r="J326" s="116"/>
      <c r="K326" s="114"/>
      <c r="L326" s="114"/>
      <c r="M326" s="114" t="s">
        <v>508</v>
      </c>
      <c r="N326" s="114" t="s">
        <v>508</v>
      </c>
    </row>
    <row r="327" spans="1:14">
      <c r="A327" s="136" t="s">
        <v>549</v>
      </c>
      <c r="C327" s="116" t="s">
        <v>508</v>
      </c>
      <c r="D327" s="115"/>
      <c r="E327" s="114"/>
      <c r="F327" s="114"/>
      <c r="G327" s="114"/>
      <c r="H327" s="116"/>
      <c r="I327" s="116"/>
      <c r="J327" s="116"/>
      <c r="K327" s="114"/>
      <c r="L327" s="114"/>
      <c r="M327" s="114" t="s">
        <v>508</v>
      </c>
      <c r="N327" s="114" t="s">
        <v>508</v>
      </c>
    </row>
    <row r="328" spans="1:14">
      <c r="A328" s="136" t="s">
        <v>550</v>
      </c>
      <c r="C328" s="116" t="s">
        <v>508</v>
      </c>
      <c r="D328" s="115"/>
      <c r="E328" s="114"/>
      <c r="F328" s="114"/>
      <c r="G328" s="114"/>
      <c r="H328" s="116"/>
      <c r="I328" s="116"/>
      <c r="J328" s="116"/>
      <c r="K328" s="114"/>
      <c r="L328" s="114"/>
      <c r="M328" s="114" t="s">
        <v>508</v>
      </c>
      <c r="N328" s="114" t="s">
        <v>508</v>
      </c>
    </row>
    <row r="329" spans="1:14">
      <c r="A329" s="136" t="s">
        <v>551</v>
      </c>
      <c r="C329" s="102" t="s">
        <v>478</v>
      </c>
      <c r="G329" s="97">
        <v>0</v>
      </c>
      <c r="H329" s="97">
        <v>300</v>
      </c>
      <c r="I329" s="97" t="s">
        <v>41</v>
      </c>
      <c r="L329" s="36" t="s">
        <v>485</v>
      </c>
      <c r="M329" s="25">
        <v>2</v>
      </c>
    </row>
    <row r="330" spans="1:14">
      <c r="A330" s="136" t="s">
        <v>552</v>
      </c>
      <c r="C330" s="102" t="s">
        <v>478</v>
      </c>
      <c r="G330" s="97">
        <v>1</v>
      </c>
      <c r="H330" s="97">
        <v>100</v>
      </c>
      <c r="I330" s="97" t="s">
        <v>41</v>
      </c>
      <c r="L330" s="36" t="s">
        <v>484</v>
      </c>
      <c r="M330" s="25">
        <v>2</v>
      </c>
    </row>
    <row r="331" spans="1:14">
      <c r="A331" s="136" t="s">
        <v>553</v>
      </c>
      <c r="C331" s="116" t="s">
        <v>508</v>
      </c>
      <c r="D331" s="115"/>
      <c r="E331" s="114"/>
      <c r="F331" s="114"/>
      <c r="G331" s="114"/>
      <c r="H331" s="116"/>
      <c r="I331" s="116"/>
      <c r="J331" s="116"/>
      <c r="K331" s="114"/>
      <c r="L331" s="114"/>
      <c r="M331" s="114" t="s">
        <v>508</v>
      </c>
      <c r="N331" s="114" t="s">
        <v>508</v>
      </c>
    </row>
    <row r="332" spans="1:14">
      <c r="A332" s="136" t="s">
        <v>554</v>
      </c>
      <c r="C332" s="116" t="s">
        <v>508</v>
      </c>
      <c r="D332" s="115"/>
      <c r="E332" s="114"/>
      <c r="F332" s="114"/>
      <c r="G332" s="114"/>
      <c r="H332" s="116"/>
      <c r="I332" s="116"/>
      <c r="J332" s="116"/>
      <c r="K332" s="114"/>
      <c r="L332" s="114"/>
      <c r="M332" s="114" t="s">
        <v>508</v>
      </c>
      <c r="N332" s="114" t="s">
        <v>508</v>
      </c>
    </row>
    <row r="333" spans="1:14">
      <c r="A333" s="136" t="s">
        <v>555</v>
      </c>
      <c r="C333" s="116" t="s">
        <v>508</v>
      </c>
      <c r="D333" s="115"/>
      <c r="E333" s="114"/>
      <c r="F333" s="114"/>
      <c r="G333" s="114"/>
      <c r="H333" s="116"/>
      <c r="I333" s="116"/>
      <c r="J333" s="116"/>
      <c r="K333" s="114"/>
      <c r="L333" s="114"/>
      <c r="M333" s="114" t="s">
        <v>508</v>
      </c>
      <c r="N333" s="114" t="s">
        <v>508</v>
      </c>
    </row>
    <row r="334" spans="1:14">
      <c r="A334" s="136" t="s">
        <v>556</v>
      </c>
      <c r="C334" s="116" t="s">
        <v>508</v>
      </c>
      <c r="D334" s="115"/>
      <c r="E334" s="114"/>
      <c r="F334" s="114"/>
      <c r="G334" s="114"/>
      <c r="H334" s="116"/>
      <c r="I334" s="116"/>
      <c r="J334" s="116"/>
      <c r="K334" s="114"/>
      <c r="L334" s="114"/>
      <c r="M334" s="114" t="s">
        <v>508</v>
      </c>
      <c r="N334" s="114" t="s">
        <v>508</v>
      </c>
    </row>
    <row r="335" spans="1:14">
      <c r="A335" s="136" t="s">
        <v>557</v>
      </c>
      <c r="C335" s="116" t="s">
        <v>508</v>
      </c>
      <c r="D335" s="115"/>
      <c r="E335" s="114"/>
      <c r="F335" s="114"/>
      <c r="G335" s="114"/>
      <c r="H335" s="116"/>
      <c r="I335" s="116"/>
      <c r="J335" s="116"/>
      <c r="K335" s="114"/>
      <c r="L335" s="114"/>
      <c r="M335" s="114" t="s">
        <v>508</v>
      </c>
      <c r="N335" s="114" t="s">
        <v>508</v>
      </c>
    </row>
    <row r="336" spans="1:14">
      <c r="A336" s="136" t="s">
        <v>558</v>
      </c>
      <c r="C336" s="116" t="s">
        <v>508</v>
      </c>
      <c r="D336" s="115"/>
      <c r="E336" s="114"/>
      <c r="F336" s="114"/>
      <c r="G336" s="114"/>
      <c r="H336" s="116"/>
      <c r="I336" s="116"/>
      <c r="J336" s="116"/>
      <c r="K336" s="114"/>
      <c r="L336" s="114"/>
      <c r="M336" s="114" t="s">
        <v>508</v>
      </c>
      <c r="N336" s="114" t="s">
        <v>508</v>
      </c>
    </row>
    <row r="337" spans="1:14">
      <c r="A337" s="136" t="s">
        <v>559</v>
      </c>
      <c r="C337" s="102" t="s">
        <v>478</v>
      </c>
      <c r="G337" s="97">
        <v>0</v>
      </c>
      <c r="H337" s="97">
        <v>300</v>
      </c>
      <c r="I337" s="97" t="s">
        <v>41</v>
      </c>
      <c r="L337" s="36" t="s">
        <v>485</v>
      </c>
      <c r="M337" s="25">
        <v>2</v>
      </c>
    </row>
    <row r="338" spans="1:14">
      <c r="A338" s="136" t="s">
        <v>560</v>
      </c>
      <c r="C338" s="102" t="s">
        <v>478</v>
      </c>
      <c r="G338" s="97">
        <v>0</v>
      </c>
      <c r="H338" s="97">
        <v>300</v>
      </c>
      <c r="I338" s="97" t="s">
        <v>41</v>
      </c>
      <c r="L338" s="36" t="s">
        <v>507</v>
      </c>
      <c r="M338" s="25">
        <v>2</v>
      </c>
    </row>
    <row r="339" spans="1:14">
      <c r="A339" s="136" t="s">
        <v>561</v>
      </c>
      <c r="C339" s="102" t="s">
        <v>479</v>
      </c>
      <c r="G339" s="97">
        <v>0</v>
      </c>
      <c r="H339" s="97">
        <v>760</v>
      </c>
      <c r="I339" s="97" t="s">
        <v>568</v>
      </c>
      <c r="L339" s="36" t="s">
        <v>507</v>
      </c>
      <c r="M339" s="25">
        <v>2</v>
      </c>
    </row>
    <row r="340" spans="1:14">
      <c r="A340" s="136" t="s">
        <v>562</v>
      </c>
      <c r="C340" s="116" t="s">
        <v>508</v>
      </c>
      <c r="D340" s="115"/>
      <c r="E340" s="114"/>
      <c r="F340" s="114"/>
      <c r="G340" s="114"/>
      <c r="H340" s="116"/>
      <c r="I340" s="116"/>
      <c r="J340" s="116"/>
      <c r="K340" s="114"/>
      <c r="L340" s="114"/>
      <c r="M340" s="114" t="s">
        <v>508</v>
      </c>
      <c r="N340" s="114" t="s">
        <v>508</v>
      </c>
    </row>
    <row r="341" spans="1:14">
      <c r="A341" s="136" t="s">
        <v>563</v>
      </c>
      <c r="C341" s="102" t="s">
        <v>482</v>
      </c>
      <c r="G341" s="97">
        <v>0</v>
      </c>
      <c r="H341" s="97">
        <v>120</v>
      </c>
      <c r="I341" s="97" t="s">
        <v>512</v>
      </c>
      <c r="L341" s="36" t="s">
        <v>485</v>
      </c>
      <c r="M341" s="25">
        <v>2</v>
      </c>
    </row>
    <row r="342" spans="1:14">
      <c r="A342" s="136" t="s">
        <v>564</v>
      </c>
      <c r="C342" s="102" t="s">
        <v>478</v>
      </c>
      <c r="G342" s="97">
        <v>0</v>
      </c>
      <c r="H342" s="97">
        <v>50</v>
      </c>
      <c r="I342" s="97" t="s">
        <v>41</v>
      </c>
      <c r="L342" s="36" t="s">
        <v>507</v>
      </c>
      <c r="M342" s="25">
        <v>2</v>
      </c>
    </row>
    <row r="343" spans="1:14">
      <c r="A343" s="136" t="s">
        <v>565</v>
      </c>
      <c r="C343" s="102" t="s">
        <v>478</v>
      </c>
      <c r="G343" s="97">
        <v>1</v>
      </c>
      <c r="H343" s="97">
        <v>100</v>
      </c>
      <c r="I343" s="97" t="s">
        <v>41</v>
      </c>
      <c r="L343" s="36" t="s">
        <v>484</v>
      </c>
      <c r="M343" s="25">
        <v>2</v>
      </c>
    </row>
    <row r="344" spans="1:14">
      <c r="A344" s="136" t="s">
        <v>566</v>
      </c>
      <c r="C344" s="116" t="s">
        <v>508</v>
      </c>
      <c r="D344" s="115"/>
      <c r="E344" s="114"/>
      <c r="F344" s="114"/>
      <c r="G344" s="114"/>
      <c r="H344" s="116"/>
      <c r="I344" s="116"/>
      <c r="J344" s="116"/>
      <c r="K344" s="114"/>
      <c r="L344" s="114"/>
      <c r="M344" s="114" t="s">
        <v>508</v>
      </c>
      <c r="N344" s="114" t="s">
        <v>508</v>
      </c>
    </row>
    <row r="345" spans="1:14">
      <c r="C345" s="102"/>
    </row>
    <row r="346" spans="1:14">
      <c r="C346" s="102"/>
    </row>
    <row r="347" spans="1:14">
      <c r="C347" s="102"/>
    </row>
    <row r="348" spans="1:14">
      <c r="C348" s="102"/>
    </row>
    <row r="349" spans="1:14">
      <c r="C349" s="102"/>
    </row>
    <row r="350" spans="1:14">
      <c r="C350" s="102"/>
    </row>
    <row r="351" spans="1:14">
      <c r="C351" s="102"/>
    </row>
    <row r="352" spans="1:14">
      <c r="C352" s="102"/>
    </row>
    <row r="353" spans="3:3">
      <c r="C353" s="102"/>
    </row>
    <row r="354" spans="3:3">
      <c r="C354" s="102"/>
    </row>
    <row r="355" spans="3:3">
      <c r="C355" s="102"/>
    </row>
    <row r="356" spans="3:3">
      <c r="C356" s="102"/>
    </row>
    <row r="357" spans="3:3">
      <c r="C357" s="102"/>
    </row>
    <row r="358" spans="3:3">
      <c r="C358" s="102"/>
    </row>
    <row r="359" spans="3:3">
      <c r="C359" s="102"/>
    </row>
    <row r="360" spans="3:3">
      <c r="C360" s="102"/>
    </row>
    <row r="361" spans="3:3">
      <c r="C361" s="102"/>
    </row>
    <row r="362" spans="3:3">
      <c r="C362" s="102"/>
    </row>
    <row r="363" spans="3:3">
      <c r="C363" s="102"/>
    </row>
    <row r="364" spans="3:3">
      <c r="C364" s="102"/>
    </row>
    <row r="365" spans="3:3">
      <c r="C365" s="102"/>
    </row>
    <row r="366" spans="3:3">
      <c r="C366" s="102"/>
    </row>
    <row r="367" spans="3:3">
      <c r="C367" s="102"/>
    </row>
    <row r="368" spans="3:3">
      <c r="C368" s="102"/>
    </row>
    <row r="369" spans="3:3">
      <c r="C369" s="102"/>
    </row>
    <row r="370" spans="3:3">
      <c r="C370" s="102"/>
    </row>
    <row r="371" spans="3:3">
      <c r="C371" s="102"/>
    </row>
    <row r="372" spans="3:3">
      <c r="C372" s="102"/>
    </row>
    <row r="373" spans="3:3">
      <c r="C373" s="102"/>
    </row>
    <row r="374" spans="3:3">
      <c r="C374" s="102"/>
    </row>
    <row r="375" spans="3:3">
      <c r="C375" s="102"/>
    </row>
    <row r="376" spans="3:3">
      <c r="C376" s="102"/>
    </row>
    <row r="377" spans="3:3">
      <c r="C377" s="102"/>
    </row>
    <row r="378" spans="3:3">
      <c r="C378" s="102"/>
    </row>
    <row r="379" spans="3:3">
      <c r="C379" s="102"/>
    </row>
    <row r="380" spans="3:3">
      <c r="C380" s="102"/>
    </row>
    <row r="381" spans="3:3">
      <c r="C381" s="102"/>
    </row>
    <row r="382" spans="3:3">
      <c r="C382" s="102"/>
    </row>
    <row r="383" spans="3:3">
      <c r="C383" s="102"/>
    </row>
    <row r="384" spans="3:3">
      <c r="C384" s="102"/>
    </row>
    <row r="385" spans="3:3">
      <c r="C385" s="102"/>
    </row>
    <row r="386" spans="3:3">
      <c r="C386" s="102"/>
    </row>
    <row r="387" spans="3:3">
      <c r="C387" s="102"/>
    </row>
    <row r="388" spans="3:3">
      <c r="C388" s="102"/>
    </row>
    <row r="389" spans="3:3">
      <c r="C389" s="102"/>
    </row>
    <row r="390" spans="3:3">
      <c r="C390" s="102"/>
    </row>
    <row r="391" spans="3:3">
      <c r="C391" s="102"/>
    </row>
    <row r="392" spans="3:3">
      <c r="C392" s="102"/>
    </row>
    <row r="393" spans="3:3">
      <c r="C393" s="102"/>
    </row>
    <row r="394" spans="3:3">
      <c r="C394" s="102"/>
    </row>
    <row r="395" spans="3:3">
      <c r="C395" s="102"/>
    </row>
    <row r="396" spans="3:3">
      <c r="C396" s="102"/>
    </row>
    <row r="397" spans="3:3">
      <c r="C397" s="102"/>
    </row>
    <row r="398" spans="3:3">
      <c r="C398" s="102"/>
    </row>
    <row r="399" spans="3:3">
      <c r="C399" s="102"/>
    </row>
    <row r="400" spans="3:3">
      <c r="C400" s="102"/>
    </row>
    <row r="401" spans="3:3">
      <c r="C401" s="102"/>
    </row>
    <row r="402" spans="3:3">
      <c r="C402" s="102"/>
    </row>
    <row r="403" spans="3:3">
      <c r="C403" s="102"/>
    </row>
    <row r="404" spans="3:3">
      <c r="C404" s="102"/>
    </row>
    <row r="405" spans="3:3">
      <c r="C405" s="102"/>
    </row>
    <row r="406" spans="3:3">
      <c r="C406" s="102"/>
    </row>
    <row r="407" spans="3:3">
      <c r="C407" s="102"/>
    </row>
    <row r="408" spans="3:3">
      <c r="C408" s="102"/>
    </row>
    <row r="409" spans="3:3">
      <c r="C409" s="102"/>
    </row>
    <row r="410" spans="3:3">
      <c r="C410" s="102"/>
    </row>
    <row r="411" spans="3:3">
      <c r="C411" s="102"/>
    </row>
    <row r="412" spans="3:3">
      <c r="C412" s="102"/>
    </row>
    <row r="413" spans="3:3">
      <c r="C413" s="102"/>
    </row>
    <row r="414" spans="3:3">
      <c r="C414" s="102"/>
    </row>
    <row r="415" spans="3:3">
      <c r="C415" s="102"/>
    </row>
    <row r="416" spans="3:3">
      <c r="C416" s="102"/>
    </row>
    <row r="417" spans="3:3">
      <c r="C417" s="102"/>
    </row>
    <row r="418" spans="3:3">
      <c r="C418" s="102"/>
    </row>
    <row r="419" spans="3:3">
      <c r="C419" s="102"/>
    </row>
    <row r="420" spans="3:3">
      <c r="C420" s="102"/>
    </row>
    <row r="421" spans="3:3">
      <c r="C421" s="102"/>
    </row>
    <row r="422" spans="3:3">
      <c r="C422" s="102"/>
    </row>
    <row r="423" spans="3:3">
      <c r="C423" s="102"/>
    </row>
    <row r="424" spans="3:3">
      <c r="C424" s="102"/>
    </row>
    <row r="425" spans="3:3">
      <c r="C425" s="102"/>
    </row>
    <row r="426" spans="3:3">
      <c r="C426" s="102"/>
    </row>
    <row r="427" spans="3:3">
      <c r="C427" s="102"/>
    </row>
    <row r="428" spans="3:3">
      <c r="C428" s="102"/>
    </row>
    <row r="429" spans="3:3">
      <c r="C429" s="102"/>
    </row>
    <row r="430" spans="3:3">
      <c r="C430" s="102"/>
    </row>
    <row r="431" spans="3:3">
      <c r="C431" s="102"/>
    </row>
    <row r="432" spans="3:3">
      <c r="C432" s="102"/>
    </row>
    <row r="433" spans="3:3">
      <c r="C433" s="102"/>
    </row>
    <row r="434" spans="3:3">
      <c r="C434" s="102"/>
    </row>
    <row r="435" spans="3:3">
      <c r="C435" s="102"/>
    </row>
    <row r="436" spans="3:3">
      <c r="C436" s="102"/>
    </row>
    <row r="437" spans="3:3">
      <c r="C437" s="102"/>
    </row>
    <row r="438" spans="3:3">
      <c r="C438" s="102"/>
    </row>
    <row r="439" spans="3:3">
      <c r="C439" s="102"/>
    </row>
    <row r="440" spans="3:3">
      <c r="C440" s="102"/>
    </row>
    <row r="441" spans="3:3">
      <c r="C441" s="102"/>
    </row>
    <row r="442" spans="3:3">
      <c r="C442" s="102"/>
    </row>
    <row r="443" spans="3:3">
      <c r="C443" s="102"/>
    </row>
    <row r="444" spans="3:3">
      <c r="C444" s="102"/>
    </row>
    <row r="445" spans="3:3">
      <c r="C445" s="102"/>
    </row>
    <row r="446" spans="3:3">
      <c r="C446" s="102"/>
    </row>
    <row r="447" spans="3:3">
      <c r="C447" s="102"/>
    </row>
    <row r="448" spans="3:3">
      <c r="C448" s="102"/>
    </row>
    <row r="449" spans="3:3">
      <c r="C449" s="102"/>
    </row>
    <row r="450" spans="3:3">
      <c r="C450" s="102"/>
    </row>
    <row r="451" spans="3:3">
      <c r="C451" s="102"/>
    </row>
    <row r="452" spans="3:3">
      <c r="C452" s="102"/>
    </row>
    <row r="453" spans="3:3">
      <c r="C453" s="102"/>
    </row>
    <row r="454" spans="3:3">
      <c r="C454" s="102"/>
    </row>
    <row r="455" spans="3:3">
      <c r="C455" s="102"/>
    </row>
    <row r="456" spans="3:3">
      <c r="C456" s="102"/>
    </row>
    <row r="457" spans="3:3">
      <c r="C457" s="102"/>
    </row>
    <row r="458" spans="3:3">
      <c r="C458" s="102"/>
    </row>
    <row r="459" spans="3:3">
      <c r="C459" s="102"/>
    </row>
    <row r="460" spans="3:3">
      <c r="C460" s="102"/>
    </row>
    <row r="461" spans="3:3">
      <c r="C461" s="102"/>
    </row>
    <row r="462" spans="3:3">
      <c r="C462" s="102"/>
    </row>
    <row r="463" spans="3:3">
      <c r="C463" s="102"/>
    </row>
    <row r="464" spans="3:3">
      <c r="C464" s="102"/>
    </row>
    <row r="465" spans="3:3">
      <c r="C465" s="102"/>
    </row>
    <row r="466" spans="3:3">
      <c r="C466" s="102"/>
    </row>
    <row r="467" spans="3:3">
      <c r="C467" s="102"/>
    </row>
    <row r="468" spans="3:3">
      <c r="C468" s="102"/>
    </row>
    <row r="469" spans="3:3">
      <c r="C469" s="102"/>
    </row>
    <row r="470" spans="3:3">
      <c r="C470" s="102"/>
    </row>
    <row r="471" spans="3:3">
      <c r="C471" s="102"/>
    </row>
    <row r="472" spans="3:3">
      <c r="C472" s="102"/>
    </row>
    <row r="473" spans="3:3">
      <c r="C473" s="102"/>
    </row>
    <row r="474" spans="3:3">
      <c r="C474" s="102"/>
    </row>
    <row r="475" spans="3:3">
      <c r="C475" s="102"/>
    </row>
    <row r="476" spans="3:3">
      <c r="C476" s="102"/>
    </row>
    <row r="477" spans="3:3">
      <c r="C477" s="102"/>
    </row>
    <row r="478" spans="3:3">
      <c r="C478" s="102"/>
    </row>
    <row r="479" spans="3:3">
      <c r="C479" s="102"/>
    </row>
    <row r="480" spans="3:3">
      <c r="C480" s="102"/>
    </row>
    <row r="481" spans="3:3">
      <c r="C481" s="102"/>
    </row>
    <row r="482" spans="3:3">
      <c r="C482" s="102"/>
    </row>
    <row r="483" spans="3:3">
      <c r="C483" s="102"/>
    </row>
    <row r="484" spans="3:3">
      <c r="C484" s="102"/>
    </row>
    <row r="485" spans="3:3">
      <c r="C485" s="102"/>
    </row>
    <row r="486" spans="3:3">
      <c r="C486" s="102"/>
    </row>
    <row r="487" spans="3:3">
      <c r="C487" s="102"/>
    </row>
    <row r="488" spans="3:3">
      <c r="C488" s="102"/>
    </row>
    <row r="489" spans="3:3">
      <c r="C489" s="102"/>
    </row>
    <row r="490" spans="3:3">
      <c r="C490" s="102"/>
    </row>
    <row r="491" spans="3:3">
      <c r="C491" s="102"/>
    </row>
    <row r="492" spans="3:3">
      <c r="C492" s="102"/>
    </row>
    <row r="493" spans="3:3">
      <c r="C493" s="102"/>
    </row>
    <row r="494" spans="3:3">
      <c r="C494" s="102"/>
    </row>
    <row r="495" spans="3:3">
      <c r="C495" s="102"/>
    </row>
    <row r="496" spans="3:3">
      <c r="C496" s="102"/>
    </row>
    <row r="497" spans="6:11">
      <c r="F497" s="36"/>
      <c r="J497" s="36"/>
      <c r="K497" s="36"/>
    </row>
  </sheetData>
  <autoFilter ref="B1:K293" xr:uid="{00000000-0009-0000-0000-000005000000}"/>
  <mergeCells count="2">
    <mergeCell ref="S1:U1"/>
    <mergeCell ref="AF1:AG1"/>
  </mergeCells>
  <conditionalFormatting sqref="A1:A284 A289:A293 A345:A1048576">
    <cfRule type="duplicateValues" dxfId="0" priority="2"/>
  </conditionalFormatting>
  <dataValidations count="2">
    <dataValidation type="list" allowBlank="1" showInputMessage="1" showErrorMessage="1" sqref="I2:I292 I295 J299:J310 J312:J313 J316 J318 J324:J328 J331:J336 J340 J344" xr:uid="{00000000-0002-0000-0500-000000000000}">
      <formula1>$AA$2:$AA$5</formula1>
    </dataValidation>
    <dataValidation type="list" allowBlank="1" showInputMessage="1" showErrorMessage="1" sqref="C2:C298 D299:D300 C301:D306 D307:D310 C311 D312:D313 C314:C315 D316 C317 D318 C319:C323 D324:D328 C329:C330 D331:D336 C337:C339 D340 C341:C343 C345:C496 D344" xr:uid="{00000000-0002-0000-0500-000001000000}">
      <formula1>$S$2:$S$9</formula1>
    </dataValidation>
  </dataValidations>
  <hyperlinks>
    <hyperlink ref="M94" r:id="rId1" xr:uid="{00000000-0004-0000-0500-000000000000}"/>
    <hyperlink ref="M89" r:id="rId2" xr:uid="{00000000-0004-0000-0500-000001000000}"/>
    <hyperlink ref="M66" r:id="rId3" xr:uid="{00000000-0004-0000-0500-000002000000}"/>
    <hyperlink ref="M8" r:id="rId4" xr:uid="{00000000-0004-0000-0500-000003000000}"/>
    <hyperlink ref="M19" r:id="rId5" xr:uid="{00000000-0004-0000-0500-000004000000}"/>
    <hyperlink ref="M25" r:id="rId6" xr:uid="{00000000-0004-0000-0500-000005000000}"/>
    <hyperlink ref="M67" r:id="rId7" xr:uid="{00000000-0004-0000-0500-000006000000}"/>
    <hyperlink ref="M31" r:id="rId8" xr:uid="{00000000-0004-0000-0500-000007000000}"/>
    <hyperlink ref="M14" r:id="rId9" xr:uid="{00000000-0004-0000-0500-000008000000}"/>
    <hyperlink ref="M93" r:id="rId10" xr:uid="{00000000-0004-0000-0500-000009000000}"/>
    <hyperlink ref="M101" r:id="rId11" xr:uid="{00000000-0004-0000-0500-00000A000000}"/>
    <hyperlink ref="M118" r:id="rId12" xr:uid="{00000000-0004-0000-0500-00000B000000}"/>
    <hyperlink ref="M158" r:id="rId13" xr:uid="{00000000-0004-0000-0500-00000C000000}"/>
    <hyperlink ref="M163" r:id="rId14" xr:uid="{00000000-0004-0000-0500-00000D000000}"/>
    <hyperlink ref="M138" r:id="rId15" xr:uid="{00000000-0004-0000-0500-00000E000000}"/>
    <hyperlink ref="M142" r:id="rId16" xr:uid="{00000000-0004-0000-0500-00000F000000}"/>
    <hyperlink ref="M181" r:id="rId17" display="../../../ABx 2.0/Antibiotics/Tetra-Sleecol_2000mg-6018-K2-3-1016.pdf" xr:uid="{00000000-0004-0000-0500-000010000000}"/>
    <hyperlink ref="M194" r:id="rId18" xr:uid="{00000000-0004-0000-0500-000011000000}"/>
    <hyperlink ref="M153" r:id="rId19" xr:uid="{00000000-0004-0000-0500-000012000000}"/>
    <hyperlink ref="M179" r:id="rId20" xr:uid="{00000000-0004-0000-0500-000013000000}"/>
    <hyperlink ref="M147" r:id="rId21" xr:uid="{00000000-0004-0000-0500-000014000000}"/>
    <hyperlink ref="M126" r:id="rId22" xr:uid="{00000000-0004-0000-0500-000015000000}"/>
    <hyperlink ref="M160" r:id="rId23" xr:uid="{00000000-0004-0000-0500-000016000000}"/>
    <hyperlink ref="M159" r:id="rId24" xr:uid="{00000000-0004-0000-0500-000017000000}"/>
    <hyperlink ref="M174" r:id="rId25" xr:uid="{00000000-0004-0000-0500-000018000000}"/>
    <hyperlink ref="M190" r:id="rId26" xr:uid="{00000000-0004-0000-0500-000019000000}"/>
    <hyperlink ref="M193" r:id="rId27" xr:uid="{00000000-0004-0000-0500-00001A000000}"/>
    <hyperlink ref="M197" r:id="rId28" xr:uid="{00000000-0004-0000-0500-00001B000000}"/>
    <hyperlink ref="M196" r:id="rId29" xr:uid="{00000000-0004-0000-0500-00001C000000}"/>
  </hyperlinks>
  <pageMargins left="0.7" right="0.7" top="0.78740157499999996" bottom="0.78740157499999996" header="0.3" footer="0.3"/>
  <pageSetup paperSize="9" orientation="portrait" r:id="rId30"/>
  <legacy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>
      <selection activeCell="I24" sqref="I24"/>
    </sheetView>
  </sheetViews>
  <sheetFormatPr defaultRowHeight="14.5"/>
  <cols>
    <col min="1" max="1" width="13.81640625" bestFit="1" customWidth="1"/>
  </cols>
  <sheetData>
    <row r="1" spans="1:1">
      <c r="A1" t="s">
        <v>360</v>
      </c>
    </row>
    <row r="2" spans="1:1">
      <c r="A2" t="s">
        <v>361</v>
      </c>
    </row>
    <row r="3" spans="1:1">
      <c r="A3" t="s">
        <v>363</v>
      </c>
    </row>
    <row r="4" spans="1:1">
      <c r="A4" t="s">
        <v>364</v>
      </c>
    </row>
    <row r="5" spans="1:1">
      <c r="A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Karta informacyjna</vt:lpstr>
      <vt:lpstr>Leczenie ogólne</vt:lpstr>
      <vt:lpstr>Mastitis</vt:lpstr>
      <vt:lpstr>Zasuszanie</vt:lpstr>
      <vt:lpstr>Podsumowanie</vt:lpstr>
      <vt:lpstr>Tabelle1</vt:lpstr>
      <vt:lpstr>Listy wyboru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 Ardila, Andrea</dc:creator>
  <cp:lastModifiedBy>Kaczmarczyk, Julia</cp:lastModifiedBy>
  <cp:lastPrinted>2020-02-18T14:57:53Z</cp:lastPrinted>
  <dcterms:created xsi:type="dcterms:W3CDTF">2020-01-10T06:59:16Z</dcterms:created>
  <dcterms:modified xsi:type="dcterms:W3CDTF">2026-09-28T14:07:01Z</dcterms:modified>
</cp:coreProperties>
</file>